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Users\DELL\Downloads\"/>
    </mc:Choice>
  </mc:AlternateContent>
  <bookViews>
    <workbookView xWindow="0" yWindow="0" windowWidth="23040" windowHeight="9195" activeTab="2"/>
  </bookViews>
  <sheets>
    <sheet name="Customers" sheetId="2" r:id="rId1"/>
    <sheet name="Sheet2" sheetId="4" r:id="rId2"/>
    <sheet name="Sheet4" sheetId="6" r:id="rId3"/>
    <sheet name="Sheet3" sheetId="5" r:id="rId4"/>
    <sheet name="Sheet5" sheetId="7" r:id="rId5"/>
    <sheet name="Sheet1" sheetId="8" r:id="rId6"/>
    <sheet name="owner" sheetId="1" r:id="rId7"/>
    <sheet name="Products" sheetId="3" r:id="rId8"/>
  </sheets>
  <definedNames>
    <definedName name="NativeTimeline_Order_date1">#N/A</definedName>
    <definedName name="Slicer_Loyalty_cards">#N/A</definedName>
    <definedName name="Slicer_Loyalty_cards1">#N/A</definedName>
    <definedName name="Slicer_Roast_type">#N/A</definedName>
    <definedName name="Slicer_Roast_type1">#N/A</definedName>
    <definedName name="Slicer_Size">#N/A</definedName>
    <definedName name="Slicer_Size1">#N/A</definedName>
  </definedNames>
  <calcPr calcId="162913"/>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L3" i="1"/>
  <c r="M3" i="1" s="1"/>
  <c r="L4" i="1"/>
  <c r="M4" i="1" s="1"/>
  <c r="L5" i="1"/>
  <c r="M5" i="1" s="1"/>
  <c r="L6" i="1"/>
  <c r="M6" i="1" s="1"/>
  <c r="L7" i="1"/>
  <c r="M7" i="1" s="1"/>
  <c r="L8" i="1"/>
  <c r="M8" i="1" s="1"/>
  <c r="L9" i="1"/>
  <c r="M9" i="1" s="1"/>
  <c r="L10" i="1"/>
  <c r="M10" i="1" s="1"/>
  <c r="L11" i="1"/>
  <c r="M11" i="1" s="1"/>
  <c r="L12" i="1"/>
  <c r="M12" i="1" s="1"/>
  <c r="L13" i="1"/>
  <c r="M13" i="1" s="1"/>
  <c r="L14" i="1"/>
  <c r="M14" i="1" s="1"/>
  <c r="L15" i="1"/>
  <c r="M15" i="1" s="1"/>
  <c r="L16" i="1"/>
  <c r="M16" i="1" s="1"/>
  <c r="L17" i="1"/>
  <c r="M17" i="1" s="1"/>
  <c r="L18" i="1"/>
  <c r="M18" i="1" s="1"/>
  <c r="L19" i="1"/>
  <c r="M19" i="1" s="1"/>
  <c r="L20" i="1"/>
  <c r="M20" i="1" s="1"/>
  <c r="L21" i="1"/>
  <c r="M21" i="1" s="1"/>
  <c r="L22" i="1"/>
  <c r="M22" i="1" s="1"/>
  <c r="L23" i="1"/>
  <c r="M23" i="1" s="1"/>
  <c r="L24" i="1"/>
  <c r="M24" i="1" s="1"/>
  <c r="L25" i="1"/>
  <c r="M25" i="1" s="1"/>
  <c r="L26" i="1"/>
  <c r="M26" i="1" s="1"/>
  <c r="L27" i="1"/>
  <c r="M27" i="1" s="1"/>
  <c r="L28" i="1"/>
  <c r="M28" i="1" s="1"/>
  <c r="L29" i="1"/>
  <c r="M29" i="1" s="1"/>
  <c r="L30" i="1"/>
  <c r="M30" i="1" s="1"/>
  <c r="L31" i="1"/>
  <c r="M31" i="1" s="1"/>
  <c r="L32" i="1"/>
  <c r="M32" i="1" s="1"/>
  <c r="L33" i="1"/>
  <c r="M33" i="1" s="1"/>
  <c r="L34" i="1"/>
  <c r="M34" i="1" s="1"/>
  <c r="L35" i="1"/>
  <c r="M35" i="1" s="1"/>
  <c r="L36" i="1"/>
  <c r="M36" i="1" s="1"/>
  <c r="L37" i="1"/>
  <c r="M37" i="1" s="1"/>
  <c r="L38" i="1"/>
  <c r="M38" i="1" s="1"/>
  <c r="L39" i="1"/>
  <c r="M39" i="1" s="1"/>
  <c r="L40" i="1"/>
  <c r="M40" i="1" s="1"/>
  <c r="L41" i="1"/>
  <c r="M41" i="1" s="1"/>
  <c r="L2" i="1"/>
  <c r="M2" i="1" s="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2" i="1"/>
  <c r="F23" i="1"/>
  <c r="F15" i="1"/>
  <c r="F36" i="1"/>
  <c r="F37" i="1"/>
  <c r="F38" i="1"/>
  <c r="F39" i="1"/>
  <c r="F40" i="1"/>
  <c r="F41" i="1"/>
  <c r="F35" i="1"/>
  <c r="F26" i="1"/>
  <c r="F27" i="1"/>
  <c r="F28" i="1"/>
  <c r="F29" i="1"/>
  <c r="F30" i="1"/>
  <c r="F31" i="1"/>
  <c r="F32" i="1"/>
  <c r="F33" i="1"/>
  <c r="F34" i="1"/>
  <c r="F25" i="1"/>
  <c r="F13" i="1"/>
  <c r="F8" i="1"/>
  <c r="F9" i="1"/>
  <c r="F10" i="1"/>
  <c r="F11" i="1"/>
  <c r="F12" i="1"/>
  <c r="F14" i="1"/>
  <c r="F16" i="1"/>
  <c r="F17" i="1"/>
  <c r="F18" i="1"/>
  <c r="F19" i="1"/>
  <c r="F20" i="1"/>
  <c r="F21" i="1"/>
  <c r="F22" i="1"/>
  <c r="F24" i="1"/>
  <c r="F7" i="1"/>
  <c r="F6" i="1"/>
  <c r="F5" i="1"/>
  <c r="F5" i="2"/>
  <c r="F4" i="1"/>
  <c r="F3" i="1"/>
  <c r="F2" i="1"/>
</calcChain>
</file>

<file path=xl/sharedStrings.xml><?xml version="1.0" encoding="utf-8"?>
<sst xmlns="http://schemas.openxmlformats.org/spreadsheetml/2006/main" count="541" uniqueCount="297">
  <si>
    <t>Order ID</t>
  </si>
  <si>
    <t>Customer ID</t>
  </si>
  <si>
    <t>Product ID</t>
  </si>
  <si>
    <t>Quantity</t>
  </si>
  <si>
    <t>ORD0001</t>
  </si>
  <si>
    <t>ORD0002</t>
  </si>
  <si>
    <t>ORD0003</t>
  </si>
  <si>
    <t>ORD0004</t>
  </si>
  <si>
    <t>ORD0005</t>
  </si>
  <si>
    <t>ORD0006</t>
  </si>
  <si>
    <t>ORD0007</t>
  </si>
  <si>
    <t>ORD0008</t>
  </si>
  <si>
    <t>ORD0009</t>
  </si>
  <si>
    <t>ORD0010</t>
  </si>
  <si>
    <t>ORD0011</t>
  </si>
  <si>
    <t>ORD0012</t>
  </si>
  <si>
    <t>ORD0013</t>
  </si>
  <si>
    <t>ORD0014</t>
  </si>
  <si>
    <t>ORD0015</t>
  </si>
  <si>
    <t>ORD0016</t>
  </si>
  <si>
    <t>ORD0017</t>
  </si>
  <si>
    <t>ORD0018</t>
  </si>
  <si>
    <t>ORD0019</t>
  </si>
  <si>
    <t>ORD0020</t>
  </si>
  <si>
    <t>ORD0021</t>
  </si>
  <si>
    <t>ORD0022</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</si>
  <si>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</si>
  <si>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</si>
  <si>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</si>
  <si>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</si>
  <si>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</si>
  <si>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</si>
  <si>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</si>
  <si>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</si>
  <si>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</si>
  <si>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</si>
  <si>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</si>
  <si>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</si>
  <si>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</si>
  <si>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</si>
  <si>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</si>
  <si>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</si>
  <si>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</si>
  <si>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</si>
  <si>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CUST010</t>
  </si>
  <si>
    <t>CUST005</t>
  </si>
  <si>
    <t>CUST002</t>
  </si>
  <si>
    <t>CUST018</t>
  </si>
  <si>
    <t>CUST007</t>
  </si>
  <si>
    <t>CUST015</t>
  </si>
  <si>
    <t>CUST006</t>
  </si>
  <si>
    <t>CUST019</t>
  </si>
  <si>
    <t>CUST020</t>
  </si>
  <si>
    <t>CUST016</t>
  </si>
  <si>
    <t>CUST014</t>
  </si>
  <si>
    <t>CUST003</t>
  </si>
  <si>
    <t>CUST001</t>
  </si>
  <si>
    <t>CUST013</t>
  </si>
  <si>
    <t>CUST012</t>
  </si>
  <si>
    <t>CUST009</t>
  </si>
  <si>
    <t>PROD004</t>
  </si>
  <si>
    <t>PROD003</t>
  </si>
  <si>
    <t>PROD002</t>
  </si>
  <si>
    <t>PROD014</t>
  </si>
  <si>
    <t>PROD009</t>
  </si>
  <si>
    <t>PROD007</t>
  </si>
  <si>
    <t>PROD012</t>
  </si>
  <si>
    <t>PROD016</t>
  </si>
  <si>
    <t>PROD010</t>
  </si>
  <si>
    <t>PROD006</t>
  </si>
  <si>
    <t>PROD018</t>
  </si>
  <si>
    <t>PROD011</t>
  </si>
  <si>
    <t>PROD020</t>
  </si>
  <si>
    <t>PROD005</t>
  </si>
  <si>
    <t>PROD015</t>
  </si>
  <si>
    <t>PROD001</t>
  </si>
  <si>
    <t>PROD013</t>
  </si>
  <si>
    <t>PROD017</t>
  </si>
  <si>
    <t>Customer Name</t>
  </si>
  <si>
    <t>Email</t>
  </si>
  <si>
    <t>Phone Number</t>
  </si>
  <si>
    <t>Address</t>
  </si>
  <si>
    <t>City</t>
  </si>
  <si>
    <t>Country</t>
  </si>
  <si>
    <t>Postcode</t>
  </si>
  <si>
    <t>Loyalty Card</t>
  </si>
  <si>
    <t>CUST004</t>
  </si>
  <si>
    <t>CUST008</t>
  </si>
  <si>
    <t>CUST011</t>
  </si>
  <si>
    <t>CUST017</t>
  </si>
  <si>
    <t>Jennifer Rodriguez</t>
  </si>
  <si>
    <t>Amanda Rhodes</t>
  </si>
  <si>
    <t>Carolyn Howard</t>
  </si>
  <si>
    <t>Jessica Young</t>
  </si>
  <si>
    <t>Joshua Oneal</t>
  </si>
  <si>
    <t>Jane Taylor</t>
  </si>
  <si>
    <t>Dustin Levy</t>
  </si>
  <si>
    <t>Sarah Johnson</t>
  </si>
  <si>
    <t>Ashley Guerrero</t>
  </si>
  <si>
    <t>Robin Johnson</t>
  </si>
  <si>
    <t>Andrew Patton</t>
  </si>
  <si>
    <t>Billy Chan</t>
  </si>
  <si>
    <t>Kenneth Mcfarland</t>
  </si>
  <si>
    <t>Timothy Anderson</t>
  </si>
  <si>
    <t>Teresa Collins</t>
  </si>
  <si>
    <t>Megan Rice</t>
  </si>
  <si>
    <t>Jeffrey Maldonado</t>
  </si>
  <si>
    <t>Jeffrey Moore</t>
  </si>
  <si>
    <t>Angie Tucker</t>
  </si>
  <si>
    <t>Natalie Cox</t>
  </si>
  <si>
    <t>tiffany38@hernandez-palmer.com</t>
  </si>
  <si>
    <t>joycemariah@forbes-velasquez.com</t>
  </si>
  <si>
    <t>scott42@thompson-friedman.org</t>
  </si>
  <si>
    <t>ryan79@hotmail.com</t>
  </si>
  <si>
    <t>hestercharles@jackson-hicks.com</t>
  </si>
  <si>
    <t>egould@navarro.biz</t>
  </si>
  <si>
    <t>plamb@thomas.com</t>
  </si>
  <si>
    <t>tedwards@collins.com</t>
  </si>
  <si>
    <t>clementscole@stewart.com</t>
  </si>
  <si>
    <t>rvillanueva@hotmail.com</t>
  </si>
  <si>
    <t>mcphersonashley@lynn.com</t>
  </si>
  <si>
    <t>jonathandavis@yahoo.com</t>
  </si>
  <si>
    <t>gregory16@murphy.com</t>
  </si>
  <si>
    <t>ucunningham@webb.com</t>
  </si>
  <si>
    <t>carsonkenneth@hotmail.com</t>
  </si>
  <si>
    <t>bakerjuan@hotmail.com</t>
  </si>
  <si>
    <t>john10@yahoo.com</t>
  </si>
  <si>
    <t>jessica31@sanchez-young.com</t>
  </si>
  <si>
    <t>tholland@turner.info</t>
  </si>
  <si>
    <t>cervantesgabriela@morgan.net</t>
  </si>
  <si>
    <t>736-814-8127x615</t>
  </si>
  <si>
    <t>+1-998-018-6546x338</t>
  </si>
  <si>
    <t>519.531.2027x238</t>
  </si>
  <si>
    <t>+1-059-620-1168</t>
  </si>
  <si>
    <t>001-196-985-6506</t>
  </si>
  <si>
    <t>+1-659-964-9852x721</t>
  </si>
  <si>
    <t>+1-255-904-5555x0820</t>
  </si>
  <si>
    <t>509.913.0612x4886</t>
  </si>
  <si>
    <t>294.822.5865</t>
  </si>
  <si>
    <t>(661)768-9188</t>
  </si>
  <si>
    <t>0078469677</t>
  </si>
  <si>
    <t>012.184.9762</t>
  </si>
  <si>
    <t>146-626-8659x449</t>
  </si>
  <si>
    <t>001-532-154-8326x7800</t>
  </si>
  <si>
    <t>001-523-678-5349</t>
  </si>
  <si>
    <t>(461)547-3573</t>
  </si>
  <si>
    <t>129-581-4943x069</t>
  </si>
  <si>
    <t>927.351.7417</t>
  </si>
  <si>
    <t>020-034-3368x037</t>
  </si>
  <si>
    <t>078.132.3750x9284</t>
  </si>
  <si>
    <t>Christopher Bridge</t>
  </si>
  <si>
    <t>Greene Green</t>
  </si>
  <si>
    <t>Dawn Shoals</t>
  </si>
  <si>
    <t>Matthew Loaf</t>
  </si>
  <si>
    <t>Cooper Throughway</t>
  </si>
  <si>
    <t>Wade Curve</t>
  </si>
  <si>
    <t>Wilson Trafficway</t>
  </si>
  <si>
    <t>Mary Wells</t>
  </si>
  <si>
    <t>Heather Motorway</t>
  </si>
  <si>
    <t>Heather Meadows</t>
  </si>
  <si>
    <t>Shane Port</t>
  </si>
  <si>
    <t>Fisher Shore</t>
  </si>
  <si>
    <t>Lee Hill</t>
  </si>
  <si>
    <t>Caleb Common</t>
  </si>
  <si>
    <t>Roberts Camp</t>
  </si>
  <si>
    <t>Herrera Stravenue</t>
  </si>
  <si>
    <t>Bradshaw Brook</t>
  </si>
  <si>
    <t>Edwards Cape</t>
  </si>
  <si>
    <t>Nathaniel Lakes</t>
  </si>
  <si>
    <t>Steven Crest</t>
  </si>
  <si>
    <t>Taylorfurt</t>
  </si>
  <si>
    <t>Atkinsland</t>
  </si>
  <si>
    <t>North Loriport</t>
  </si>
  <si>
    <t>Erikshire</t>
  </si>
  <si>
    <t>East Laurenmouth</t>
  </si>
  <si>
    <t>East Martin</t>
  </si>
  <si>
    <t>New Elizabethmouth</t>
  </si>
  <si>
    <t>South Robert</t>
  </si>
  <si>
    <t>South Ryan</t>
  </si>
  <si>
    <t>Clayville</t>
  </si>
  <si>
    <t>Port Lisashire</t>
  </si>
  <si>
    <t>North Lukeport</t>
  </si>
  <si>
    <t>Christianberg</t>
  </si>
  <si>
    <t>West Elizabeth</t>
  </si>
  <si>
    <t>Port Joshuaport</t>
  </si>
  <si>
    <t>Garzaborough</t>
  </si>
  <si>
    <t>East Alyssashire</t>
  </si>
  <si>
    <t>Erikside</t>
  </si>
  <si>
    <t>New Kim</t>
  </si>
  <si>
    <t>Uruguay</t>
  </si>
  <si>
    <t>Cayman Islands</t>
  </si>
  <si>
    <t>Montserrat</t>
  </si>
  <si>
    <t>Saint Vincent and the Grenadines</t>
  </si>
  <si>
    <t>Cook Islands</t>
  </si>
  <si>
    <t>Tuvalu</t>
  </si>
  <si>
    <t>Bhutan</t>
  </si>
  <si>
    <t>Dominican Republic</t>
  </si>
  <si>
    <t>Congo</t>
  </si>
  <si>
    <t>Greenland</t>
  </si>
  <si>
    <t>Western Sahara</t>
  </si>
  <si>
    <t>Turks and Caicos Islands</t>
  </si>
  <si>
    <t>Zambia</t>
  </si>
  <si>
    <t>Montenegro</t>
  </si>
  <si>
    <t>Anguilla</t>
  </si>
  <si>
    <t>Moldova</t>
  </si>
  <si>
    <t>Latvia</t>
  </si>
  <si>
    <t>Slovenia</t>
  </si>
  <si>
    <t>Namibia</t>
  </si>
  <si>
    <t>Northern Mariana Islands</t>
  </si>
  <si>
    <t>64585</t>
  </si>
  <si>
    <t>89348</t>
  </si>
  <si>
    <t>81842</t>
  </si>
  <si>
    <t>68186</t>
  </si>
  <si>
    <t>10641</t>
  </si>
  <si>
    <t>43814</t>
  </si>
  <si>
    <t>36128</t>
  </si>
  <si>
    <t>96344</t>
  </si>
  <si>
    <t>69620</t>
  </si>
  <si>
    <t>06368</t>
  </si>
  <si>
    <t>08563</t>
  </si>
  <si>
    <t>56246</t>
  </si>
  <si>
    <t>58984</t>
  </si>
  <si>
    <t>28376</t>
  </si>
  <si>
    <t>80229</t>
  </si>
  <si>
    <t>70897</t>
  </si>
  <si>
    <t>75920</t>
  </si>
  <si>
    <t>18267</t>
  </si>
  <si>
    <t>40079</t>
  </si>
  <si>
    <t>51241</t>
  </si>
  <si>
    <t>No</t>
  </si>
  <si>
    <t>Yes</t>
  </si>
  <si>
    <t xml:space="preserve"> customer name</t>
  </si>
  <si>
    <t>Coffee Type</t>
  </si>
  <si>
    <t>Roast Type</t>
  </si>
  <si>
    <t>Size</t>
  </si>
  <si>
    <t>Unit Price</t>
  </si>
  <si>
    <t>Price per 100g</t>
  </si>
  <si>
    <t>Profit</t>
  </si>
  <si>
    <t>Flat White</t>
  </si>
  <si>
    <t>Light</t>
  </si>
  <si>
    <t>Small</t>
  </si>
  <si>
    <t>Mocha</t>
  </si>
  <si>
    <t>Large</t>
  </si>
  <si>
    <t>Latte</t>
  </si>
  <si>
    <t>Dark</t>
  </si>
  <si>
    <t>Medium</t>
  </si>
  <si>
    <t>Espresso</t>
  </si>
  <si>
    <t>Americano</t>
  </si>
  <si>
    <t>PROD008</t>
  </si>
  <si>
    <t>Cappuccino</t>
  </si>
  <si>
    <t>PROD019</t>
  </si>
  <si>
    <t>PROD021</t>
  </si>
  <si>
    <t>PROD022</t>
  </si>
  <si>
    <t>PROD023</t>
  </si>
  <si>
    <t>PROD024</t>
  </si>
  <si>
    <t>PROD025</t>
  </si>
  <si>
    <t>PROD026</t>
  </si>
  <si>
    <t>PROD027</t>
  </si>
  <si>
    <t>PROD028</t>
  </si>
  <si>
    <t>PROD029</t>
  </si>
  <si>
    <t>PROD030</t>
  </si>
  <si>
    <t>PROD031</t>
  </si>
  <si>
    <t>PROD032</t>
  </si>
  <si>
    <t>PROD033</t>
  </si>
  <si>
    <t>PROD034</t>
  </si>
  <si>
    <t>PROD035</t>
  </si>
  <si>
    <t>PROD036</t>
  </si>
  <si>
    <t>PROD037</t>
  </si>
  <si>
    <t>PROD038</t>
  </si>
  <si>
    <t>PROD039</t>
  </si>
  <si>
    <t>PROD040</t>
  </si>
  <si>
    <t>Coffee type</t>
  </si>
  <si>
    <t>Roast type</t>
  </si>
  <si>
    <t>Unit price</t>
  </si>
  <si>
    <t>Sales</t>
  </si>
  <si>
    <t>Column1</t>
  </si>
  <si>
    <t>Order date</t>
  </si>
  <si>
    <t>Row Labels</t>
  </si>
  <si>
    <t>Grand Total</t>
  </si>
  <si>
    <t>2024</t>
  </si>
  <si>
    <t>2025</t>
  </si>
  <si>
    <t>Sum of Sales</t>
  </si>
  <si>
    <t>Loyalty cards</t>
  </si>
  <si>
    <t>refresh</t>
  </si>
  <si>
    <t>customer name</t>
  </si>
  <si>
    <t>Column Labels</t>
  </si>
  <si>
    <t>Jun</t>
  </si>
  <si>
    <t>Jul</t>
  </si>
  <si>
    <t>Aug</t>
  </si>
  <si>
    <t>Oct</t>
  </si>
  <si>
    <t>Nov</t>
  </si>
  <si>
    <t>Dec</t>
  </si>
  <si>
    <t>Jan</t>
  </si>
  <si>
    <t>Feb</t>
  </si>
  <si>
    <t>Mar</t>
  </si>
  <si>
    <t>Apr</t>
  </si>
  <si>
    <t>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</si>
</sst>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F800]dddd\,\ mmmm\ dd\,\ yyyy"/>
  </numFmts>
  <fonts count="3" x14ac:knownFonts="1">
    <font>
      <sz val="11"/>
      <color theme="1"/>
      <name val="Calibri"/>
      <family val="2"/>
      <scheme val="minor"/>
    </font>
    <font>
      <b/>
      <sz val="11"/>
      <color theme="1"/>
      <name val="Calibri"/>
      <family val="2"/>
      <scheme val="minor"/>
    </font>
    <font>
      <b/>
      <sz val="11"/>
      <color theme="1"/>
      <name val="Calibri"/>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0">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center"/>
    </xf>
    <xf numFmtId="0" fontId="1" fillId="0" borderId="1" xfId="0" applyFont="1" applyBorder="1" applyAlignment="1">
      <alignment horizontal="center"/>
    </xf>
    <xf numFmtId="0" fontId="0" fillId="0" borderId="0" xfId="0" applyAlignment="1"/>
    <xf numFmtId="0" fontId="0" fillId="0" borderId="0" xfId="0" applyAlignment="1">
      <alignment horizontal="center" vertical="center"/>
    </xf>
    <xf numFmtId="0" fontId="0" fillId="0" borderId="0" xfId="0" applyAlignment="1">
      <alignment horizontal="center"/>
    </xf>
    <xf numFmtId="0" fontId="1" fillId="0" borderId="0" xfId="0" applyFont="1" applyAlignment="1">
      <alignment horizontal="center" vertical="center"/>
    </xf>
    <xf numFmtId="0" fontId="1" fillId="0" borderId="0" xfId="0" applyFont="1"/>
    <xf numFmtId="0" fontId="1" fillId="0" borderId="0" xfId="0" applyFont="1" applyFill="1" applyBorder="1" applyAlignment="1">
      <alignment horizontal="center" vertical="center"/>
    </xf>
    <xf numFmtId="0" fontId="0" fillId="0" borderId="0" xfId="0" applyFont="1" applyAlignment="1">
      <alignment vertical="center" wrapText="1"/>
    </xf>
    <xf numFmtId="0" fontId="0" fillId="0" borderId="0" xfId="0" applyFont="1" applyAlignment="1">
      <alignment horizontal="center" vertical="center" wrapText="1"/>
    </xf>
    <xf numFmtId="164" fontId="1" fillId="0" borderId="1" xfId="0" applyNumberFormat="1" applyFont="1" applyBorder="1" applyAlignment="1">
      <alignment horizontal="center" vertical="center"/>
    </xf>
    <xf numFmtId="164" fontId="0" fillId="0" borderId="0" xfId="0" applyNumberFormat="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0" fontId="2" fillId="0" borderId="0" xfId="0" applyFont="1" applyFill="1" applyAlignment="1">
      <alignment horizontal="center" vertical="center"/>
    </xf>
    <xf numFmtId="164" fontId="0" fillId="0" borderId="0" xfId="0" applyNumberFormat="1" applyAlignment="1">
      <alignment horizontal="left" indent="1"/>
    </xf>
  </cellXfs>
  <cellStyles count="1">
    <cellStyle name="Normal" xfId="0" builtinId="0"/>
  </cellStyles>
  <dxfs count="19">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F800]dddd\,\ mmmm\ dd\,\ 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dxf>
    <dxf>
      <font>
        <b val="0"/>
        <i val="0"/>
        <sz val="11"/>
        <color theme="0"/>
        <name val="Calibri"/>
        <scheme val="minor"/>
      </font>
    </dxf>
    <dxf>
      <font>
        <b val="0"/>
        <i val="0"/>
        <sz val="11"/>
        <color theme="0"/>
        <name val="Calibri"/>
        <scheme val="minor"/>
      </font>
      <fill>
        <patternFill patternType="solid">
          <fgColor theme="0"/>
          <bgColor rgb="FF002060"/>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z val="11"/>
        <color theme="0"/>
        <name val="Calibri"/>
        <scheme val="minor"/>
      </font>
    </dxf>
    <dxf>
      <fill>
        <patternFill>
          <bgColor rgb="FF002060"/>
        </patternFill>
      </fill>
    </dxf>
  </dxfs>
  <tableStyles count="2" defaultTableStyle="TableStyleMedium9" defaultPivotStyle="PivotStyleLight16">
    <tableStyle name="project styler" pivot="0" table="0" count="9">
      <tableStyleElement type="wholeTable" dxfId="18"/>
      <tableStyleElement type="headerRow" dxfId="17"/>
    </tableStyle>
    <tableStyle name="project time line" pivot="0" table="0" count="8">
      <tableStyleElement type="wholeTable" dxfId="16"/>
      <tableStyleElement type="headerRow" dxfId="15"/>
    </tableStyle>
  </tableStyles>
  <extLst>
    <ext xmlns:x14="http://schemas.microsoft.com/office/spreadsheetml/2009/9/main" uri="{46F421CA-312F-682f-3DD2-61675219B42D}">
      <x14:dxfs count="7">
        <dxf>
          <font>
            <color theme="0"/>
          </font>
        </dxf>
        <dxf>
          <font>
            <color theme="0"/>
          </font>
        </dxf>
        <dxf>
          <font>
            <color theme="0"/>
          </font>
        </dxf>
        <dxf>
          <font>
            <b val="0"/>
            <i val="0"/>
            <sz val="9"/>
            <color theme="0"/>
            <name val="Calibri"/>
            <scheme val="minor"/>
          </font>
          <border>
            <left style="thin">
              <color theme="0"/>
            </left>
            <right style="thin">
              <color theme="0"/>
            </right>
            <top style="thin">
              <color theme="0"/>
            </top>
            <bottom style="thin">
              <color theme="0"/>
            </bottom>
          </border>
        </dxf>
        <dxf>
          <font>
            <b val="0"/>
            <i val="0"/>
            <sz val="9"/>
            <color theme="0"/>
            <name val="Calibri"/>
            <scheme val="minor"/>
          </font>
          <border>
            <left style="thin">
              <color theme="0"/>
            </left>
            <right style="thin">
              <color theme="0"/>
            </right>
            <top style="thin">
              <color theme="0"/>
            </top>
            <bottom style="thin">
              <color theme="0"/>
            </bottom>
            <vertical style="thin">
              <color theme="0"/>
            </vertical>
          </border>
        </dxf>
        <dxf>
          <font>
            <b val="0"/>
            <i val="0"/>
            <sz val="9"/>
            <color theme="0"/>
            <name val="Calibri"/>
            <scheme val="minor"/>
          </font>
          <border>
            <left style="thin">
              <color theme="0"/>
            </left>
            <right style="thin">
              <color theme="0"/>
            </right>
            <top style="thin">
              <color theme="0"/>
            </top>
            <bottom style="thin">
              <color theme="0"/>
            </bottom>
          </border>
        </dxf>
        <dxf>
          <font>
            <b val="0"/>
            <i val="0"/>
            <sz val="9"/>
            <color theme="0"/>
            <name val="Calibri"/>
            <scheme val="minor"/>
          </font>
        </dxf>
      </x14:dxfs>
    </ext>
    <ext xmlns:x14="http://schemas.microsoft.com/office/spreadsheetml/2009/9/main" uri="{EB79DEF2-80B8-43e5-95BD-54CBDDF9020C}">
      <x14:slicerStyles defaultSlicerStyle="project styler">
        <x14:slicerStyle name="project styler">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b val="0"/>
            <i val="0"/>
            <sz val="10"/>
            <color theme="0"/>
            <name val="Calibri"/>
            <scheme val="minor"/>
          </font>
        </dxf>
        <dxf>
          <font>
            <b val="0"/>
            <i val="0"/>
            <sz val="10"/>
            <color theme="0"/>
            <name val="Calibri"/>
            <scheme val="minor"/>
          </font>
        </dxf>
        <dxf>
          <font>
            <b val="0"/>
            <i val="0"/>
            <sz val="10"/>
            <color theme="0"/>
            <name val="Calibri"/>
            <scheme val="minor"/>
          </font>
        </dxf>
        <dxf>
          <font>
            <b val="0"/>
            <i val="0"/>
            <sz val="10"/>
            <color theme="0"/>
            <name val="Calibri"/>
            <scheme val="minor"/>
          </font>
        </dxf>
      </x15:dxfs>
    </ext>
    <ext xmlns:x15="http://schemas.microsoft.com/office/spreadsheetml/2010/11/main" uri="{9260A510-F301-46a8-8635-F512D64BE5F5}">
      <x15:timelineStyles defaultTimelineStyle="TimeSlicerStyleLight1">
        <x15:timelineStyle name="project time lin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[project.xlsx]Sheet5!PivotTable8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over time</a:t>
            </a:r>
            <a:endParaRPr lang="en-IN"/>
          </a:p>
        </c:rich>
      </c:tx>
      <c:layout/>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solidFill>
            <a:schemeClr val="accent1"/>
          </a:solidFill>
          <a:ln w="28575" cap="rnd">
            <a:solidFill>
              <a:schemeClr val="accent1"/>
            </a:solidFill>
            <a:round/>
          </a:ln>
          <a:effectLst/>
        </c:spPr>
        <c:marker>
          <c:symbol val="none"/>
        </c:marker>
      </c:pivotFmt>
      <c:pivotFmt>
        <c:idx val="11"/>
        <c:spPr>
          <a:solidFill>
            <a:schemeClr val="accent1"/>
          </a:solidFill>
          <a:ln w="28575" cap="rnd">
            <a:solidFill>
              <a:schemeClr val="accent1"/>
            </a:solidFill>
            <a:round/>
          </a:ln>
          <a:effectLst/>
        </c:spPr>
        <c:marker>
          <c:symbol val="none"/>
        </c:marker>
      </c:pivotFmt>
      <c:pivotFmt>
        <c:idx val="12"/>
        <c:spPr>
          <a:ln w="28575" cap="rnd">
            <a:solidFill>
              <a:schemeClr val="accent1"/>
            </a:solidFill>
            <a:round/>
          </a:ln>
          <a:effectLst/>
        </c:spPr>
        <c:marker>
          <c:symbol val="none"/>
        </c:marker>
      </c:pivotFmt>
      <c:pivotFmt>
        <c:idx val="13"/>
        <c:spPr>
          <a:ln w="28575" cap="rnd">
            <a:solidFill>
              <a:schemeClr val="accent1"/>
            </a:solidFill>
            <a:round/>
          </a:ln>
          <a:effectLst/>
        </c:spPr>
        <c:marker>
          <c:symbol val="none"/>
        </c:marker>
      </c:pivotFmt>
      <c:pivotFmt>
        <c:idx val="14"/>
        <c:spPr>
          <a:ln w="28575" cap="rnd">
            <a:solidFill>
              <a:schemeClr val="accent1"/>
            </a:solidFill>
            <a:round/>
          </a:ln>
          <a:effectLst/>
        </c:spPr>
        <c:marker>
          <c:symbol val="none"/>
        </c:marker>
      </c:pivotFmt>
      <c:pivotFmt>
        <c:idx val="15"/>
        <c:spPr>
          <a:ln w="28575" cap="rnd">
            <a:solidFill>
              <a:schemeClr val="accent1"/>
            </a:solidFill>
            <a:round/>
          </a:ln>
          <a:effectLst/>
        </c:spPr>
        <c:marker>
          <c:symbol val="none"/>
        </c:marker>
      </c:pivotFmt>
      <c:pivotFmt>
        <c:idx val="16"/>
        <c:spPr>
          <a:ln w="28575" cap="rnd">
            <a:solidFill>
              <a:schemeClr val="accent1"/>
            </a:solidFill>
            <a:round/>
          </a:ln>
          <a:effectLst/>
        </c:spPr>
        <c:marker>
          <c:symbol val="none"/>
        </c:marker>
      </c:pivotFmt>
      <c:pivotFmt>
        <c:idx val="17"/>
        <c:spPr>
          <a:ln w="28575" cap="rnd">
            <a:solidFill>
              <a:schemeClr val="accent1"/>
            </a:solidFill>
            <a:round/>
          </a:ln>
          <a:effectLst/>
        </c:spPr>
        <c:marker>
          <c:symbol val="none"/>
        </c:marker>
      </c:pivotFmt>
    </c:pivotFmts>
    <c:plotArea>
      <c:layout/>
      <c:lineChart>
        <c:grouping val="stacked"/>
        <c:varyColors val="0"/>
        <c:ser>
          <c:idx val="0"/>
          <c:order val="0"/>
          <c:tx>
            <c:strRef>
              <c:f>Sheet5!$B$3:$B$4</c:f>
              <c:strCache>
                <c:ptCount val="1"/>
                <c:pt idx="0">
                  <c:v>Americano</c:v>
                </c:pt>
              </c:strCache>
            </c:strRef>
          </c:tx>
          <c:spPr>
            <a:ln w="28575" cap="rnd">
              <a:solidFill>
                <a:schemeClr val="accent1"/>
              </a:solidFill>
              <a:round/>
            </a:ln>
            <a:effectLst/>
          </c:spPr>
          <c:marker>
            <c:symbol val="none"/>
          </c:marker>
          <c:cat>
            <c:multiLvlStrRef>
              <c:f>Sheet5!$A$5:$A$18</c:f>
              <c:multiLvlStrCache>
                <c:ptCount val="11"/>
                <c:lvl>
                  <c:pt idx="0">
                    <c:v>Jun</c:v>
                  </c:pt>
                  <c:pt idx="1">
                    <c:v>Jul</c:v>
                  </c:pt>
                  <c:pt idx="2">
                    <c:v>Aug</c:v>
                  </c:pt>
                  <c:pt idx="3">
                    <c:v>Oct</c:v>
                  </c:pt>
                  <c:pt idx="4">
                    <c:v>Nov</c:v>
                  </c:pt>
                  <c:pt idx="5">
                    <c:v>Dec</c:v>
                  </c:pt>
                  <c:pt idx="6">
                    <c:v>Jan</c:v>
                  </c:pt>
                  <c:pt idx="7">
                    <c:v>Feb</c:v>
                  </c:pt>
                  <c:pt idx="8">
                    <c:v>Mar</c:v>
                  </c:pt>
                  <c:pt idx="9">
                    <c:v>Apr</c:v>
                  </c:pt>
                  <c:pt idx="10">
                    <c:v>May</c:v>
                  </c:pt>
                </c:lvl>
                <c:lvl>
                  <c:pt idx="0">
                    <c:v>2024</c:v>
                  </c:pt>
                  <c:pt idx="6">
                    <c:v>2025</c:v>
                  </c:pt>
                </c:lvl>
              </c:multiLvlStrCache>
            </c:multiLvlStrRef>
          </c:cat>
          <c:val>
            <c:numRef>
              <c:f>Sheet5!$B$5:$B$18</c:f>
              <c:numCache>
                <c:formatCode>General</c:formatCode>
                <c:ptCount val="11"/>
                <c:pt idx="1">
                  <c:v>28.92</c:v>
                </c:pt>
                <c:pt idx="2">
                  <c:v>39.33</c:v>
                </c:pt>
                <c:pt idx="3">
                  <c:v>5.4</c:v>
                </c:pt>
                <c:pt idx="7">
                  <c:v>14.46</c:v>
                </c:pt>
                <c:pt idx="8">
                  <c:v>48.2</c:v>
                </c:pt>
              </c:numCache>
            </c:numRef>
          </c:val>
          <c:smooth val="0"/>
          <c:extLst>
            <c:ext xmlns:c16="http://schemas.microsoft.com/office/drawing/2014/chart" uri="{C3380CC4-5D6E-409C-BE32-E72D297353CC}">
              <c16:uniqueId val="{00000000-03B2-4D26-8588-EE2E522991A7}"/>
            </c:ext>
          </c:extLst>
        </c:ser>
        <c:ser>
          <c:idx val="1"/>
          <c:order val="1"/>
          <c:tx>
            <c:strRef>
              <c:f>Sheet5!$C$3:$C$4</c:f>
              <c:strCache>
                <c:ptCount val="1"/>
                <c:pt idx="0">
                  <c:v>Cappuccino</c:v>
                </c:pt>
              </c:strCache>
            </c:strRef>
          </c:tx>
          <c:spPr>
            <a:ln w="28575" cap="rnd">
              <a:solidFill>
                <a:schemeClr val="accent2"/>
              </a:solidFill>
              <a:round/>
            </a:ln>
            <a:effectLst/>
          </c:spPr>
          <c:marker>
            <c:symbol val="none"/>
          </c:marker>
          <c:cat>
            <c:multiLvlStrRef>
              <c:f>Sheet5!$A$5:$A$18</c:f>
              <c:multiLvlStrCache>
                <c:ptCount val="11"/>
                <c:lvl>
                  <c:pt idx="0">
                    <c:v>Jun</c:v>
                  </c:pt>
                  <c:pt idx="1">
                    <c:v>Jul</c:v>
                  </c:pt>
                  <c:pt idx="2">
                    <c:v>Aug</c:v>
                  </c:pt>
                  <c:pt idx="3">
                    <c:v>Oct</c:v>
                  </c:pt>
                  <c:pt idx="4">
                    <c:v>Nov</c:v>
                  </c:pt>
                  <c:pt idx="5">
                    <c:v>Dec</c:v>
                  </c:pt>
                  <c:pt idx="6">
                    <c:v>Jan</c:v>
                  </c:pt>
                  <c:pt idx="7">
                    <c:v>Feb</c:v>
                  </c:pt>
                  <c:pt idx="8">
                    <c:v>Mar</c:v>
                  </c:pt>
                  <c:pt idx="9">
                    <c:v>Apr</c:v>
                  </c:pt>
                  <c:pt idx="10">
                    <c:v>May</c:v>
                  </c:pt>
                </c:lvl>
                <c:lvl>
                  <c:pt idx="0">
                    <c:v>2024</c:v>
                  </c:pt>
                  <c:pt idx="6">
                    <c:v>2025</c:v>
                  </c:pt>
                </c:lvl>
              </c:multiLvlStrCache>
            </c:multiLvlStrRef>
          </c:cat>
          <c:val>
            <c:numRef>
              <c:f>Sheet5!$C$5:$C$18</c:f>
              <c:numCache>
                <c:formatCode>General</c:formatCode>
                <c:ptCount val="11"/>
                <c:pt idx="7">
                  <c:v>35.36</c:v>
                </c:pt>
                <c:pt idx="9">
                  <c:v>35.36</c:v>
                </c:pt>
              </c:numCache>
            </c:numRef>
          </c:val>
          <c:smooth val="0"/>
          <c:extLst>
            <c:ext xmlns:c16="http://schemas.microsoft.com/office/drawing/2014/chart" uri="{C3380CC4-5D6E-409C-BE32-E72D297353CC}">
              <c16:uniqueId val="{00000007-03B2-4D26-8588-EE2E522991A7}"/>
            </c:ext>
          </c:extLst>
        </c:ser>
        <c:ser>
          <c:idx val="2"/>
          <c:order val="2"/>
          <c:tx>
            <c:strRef>
              <c:f>Sheet5!$D$3:$D$4</c:f>
              <c:strCache>
                <c:ptCount val="1"/>
                <c:pt idx="0">
                  <c:v>Espresso</c:v>
                </c:pt>
              </c:strCache>
            </c:strRef>
          </c:tx>
          <c:spPr>
            <a:ln w="28575" cap="rnd">
              <a:solidFill>
                <a:schemeClr val="accent3"/>
              </a:solidFill>
              <a:round/>
            </a:ln>
            <a:effectLst/>
          </c:spPr>
          <c:marker>
            <c:symbol val="none"/>
          </c:marker>
          <c:cat>
            <c:multiLvlStrRef>
              <c:f>Sheet5!$A$5:$A$18</c:f>
              <c:multiLvlStrCache>
                <c:ptCount val="11"/>
                <c:lvl>
                  <c:pt idx="0">
                    <c:v>Jun</c:v>
                  </c:pt>
                  <c:pt idx="1">
                    <c:v>Jul</c:v>
                  </c:pt>
                  <c:pt idx="2">
                    <c:v>Aug</c:v>
                  </c:pt>
                  <c:pt idx="3">
                    <c:v>Oct</c:v>
                  </c:pt>
                  <c:pt idx="4">
                    <c:v>Nov</c:v>
                  </c:pt>
                  <c:pt idx="5">
                    <c:v>Dec</c:v>
                  </c:pt>
                  <c:pt idx="6">
                    <c:v>Jan</c:v>
                  </c:pt>
                  <c:pt idx="7">
                    <c:v>Feb</c:v>
                  </c:pt>
                  <c:pt idx="8">
                    <c:v>Mar</c:v>
                  </c:pt>
                  <c:pt idx="9">
                    <c:v>Apr</c:v>
                  </c:pt>
                  <c:pt idx="10">
                    <c:v>May</c:v>
                  </c:pt>
                </c:lvl>
                <c:lvl>
                  <c:pt idx="0">
                    <c:v>2024</c:v>
                  </c:pt>
                  <c:pt idx="6">
                    <c:v>2025</c:v>
                  </c:pt>
                </c:lvl>
              </c:multiLvlStrCache>
            </c:multiLvlStrRef>
          </c:cat>
          <c:val>
            <c:numRef>
              <c:f>Sheet5!$D$5:$D$18</c:f>
              <c:numCache>
                <c:formatCode>General</c:formatCode>
                <c:ptCount val="11"/>
                <c:pt idx="1">
                  <c:v>51.37</c:v>
                </c:pt>
                <c:pt idx="2">
                  <c:v>28.17</c:v>
                </c:pt>
                <c:pt idx="6">
                  <c:v>49.67</c:v>
                </c:pt>
                <c:pt idx="7">
                  <c:v>3.13</c:v>
                </c:pt>
                <c:pt idx="10">
                  <c:v>38.97</c:v>
                </c:pt>
              </c:numCache>
            </c:numRef>
          </c:val>
          <c:smooth val="0"/>
          <c:extLst>
            <c:ext xmlns:c16="http://schemas.microsoft.com/office/drawing/2014/chart" uri="{C3380CC4-5D6E-409C-BE32-E72D297353CC}">
              <c16:uniqueId val="{0000000C-03B2-4D26-8588-EE2E522991A7}"/>
            </c:ext>
          </c:extLst>
        </c:ser>
        <c:ser>
          <c:idx val="3"/>
          <c:order val="3"/>
          <c:tx>
            <c:strRef>
              <c:f>Sheet5!$E$3:$E$4</c:f>
              <c:strCache>
                <c:ptCount val="1"/>
                <c:pt idx="0">
                  <c:v>Flat White</c:v>
                </c:pt>
              </c:strCache>
            </c:strRef>
          </c:tx>
          <c:spPr>
            <a:ln w="28575" cap="rnd">
              <a:solidFill>
                <a:schemeClr val="accent4"/>
              </a:solidFill>
              <a:round/>
            </a:ln>
            <a:effectLst/>
          </c:spPr>
          <c:marker>
            <c:symbol val="none"/>
          </c:marker>
          <c:cat>
            <c:multiLvlStrRef>
              <c:f>Sheet5!$A$5:$A$18</c:f>
              <c:multiLvlStrCache>
                <c:ptCount val="11"/>
                <c:lvl>
                  <c:pt idx="0">
                    <c:v>Jun</c:v>
                  </c:pt>
                  <c:pt idx="1">
                    <c:v>Jul</c:v>
                  </c:pt>
                  <c:pt idx="2">
                    <c:v>Aug</c:v>
                  </c:pt>
                  <c:pt idx="3">
                    <c:v>Oct</c:v>
                  </c:pt>
                  <c:pt idx="4">
                    <c:v>Nov</c:v>
                  </c:pt>
                  <c:pt idx="5">
                    <c:v>Dec</c:v>
                  </c:pt>
                  <c:pt idx="6">
                    <c:v>Jan</c:v>
                  </c:pt>
                  <c:pt idx="7">
                    <c:v>Feb</c:v>
                  </c:pt>
                  <c:pt idx="8">
                    <c:v>Mar</c:v>
                  </c:pt>
                  <c:pt idx="9">
                    <c:v>Apr</c:v>
                  </c:pt>
                  <c:pt idx="10">
                    <c:v>May</c:v>
                  </c:pt>
                </c:lvl>
                <c:lvl>
                  <c:pt idx="0">
                    <c:v>2024</c:v>
                  </c:pt>
                  <c:pt idx="6">
                    <c:v>2025</c:v>
                  </c:pt>
                </c:lvl>
              </c:multiLvlStrCache>
            </c:multiLvlStrRef>
          </c:cat>
          <c:val>
            <c:numRef>
              <c:f>Sheet5!$E$5:$E$18</c:f>
              <c:numCache>
                <c:formatCode>General</c:formatCode>
                <c:ptCount val="11"/>
                <c:pt idx="0">
                  <c:v>28.200000000000003</c:v>
                </c:pt>
                <c:pt idx="1">
                  <c:v>24.88</c:v>
                </c:pt>
                <c:pt idx="2">
                  <c:v>21.16</c:v>
                </c:pt>
                <c:pt idx="7">
                  <c:v>29.160000000000004</c:v>
                </c:pt>
                <c:pt idx="9">
                  <c:v>27.99</c:v>
                </c:pt>
              </c:numCache>
            </c:numRef>
          </c:val>
          <c:smooth val="0"/>
          <c:extLst>
            <c:ext xmlns:c16="http://schemas.microsoft.com/office/drawing/2014/chart" uri="{C3380CC4-5D6E-409C-BE32-E72D297353CC}">
              <c16:uniqueId val="{0000000D-03B2-4D26-8588-EE2E522991A7}"/>
            </c:ext>
          </c:extLst>
        </c:ser>
        <c:ser>
          <c:idx val="4"/>
          <c:order val="4"/>
          <c:tx>
            <c:strRef>
              <c:f>Sheet5!$F$3:$F$4</c:f>
              <c:strCache>
                <c:ptCount val="1"/>
                <c:pt idx="0">
                  <c:v>Latte</c:v>
                </c:pt>
              </c:strCache>
            </c:strRef>
          </c:tx>
          <c:spPr>
            <a:ln w="28575" cap="rnd">
              <a:solidFill>
                <a:schemeClr val="accent5"/>
              </a:solidFill>
              <a:round/>
            </a:ln>
            <a:effectLst/>
          </c:spPr>
          <c:marker>
            <c:symbol val="none"/>
          </c:marker>
          <c:cat>
            <c:multiLvlStrRef>
              <c:f>Sheet5!$A$5:$A$18</c:f>
              <c:multiLvlStrCache>
                <c:ptCount val="11"/>
                <c:lvl>
                  <c:pt idx="0">
                    <c:v>Jun</c:v>
                  </c:pt>
                  <c:pt idx="1">
                    <c:v>Jul</c:v>
                  </c:pt>
                  <c:pt idx="2">
                    <c:v>Aug</c:v>
                  </c:pt>
                  <c:pt idx="3">
                    <c:v>Oct</c:v>
                  </c:pt>
                  <c:pt idx="4">
                    <c:v>Nov</c:v>
                  </c:pt>
                  <c:pt idx="5">
                    <c:v>Dec</c:v>
                  </c:pt>
                  <c:pt idx="6">
                    <c:v>Jan</c:v>
                  </c:pt>
                  <c:pt idx="7">
                    <c:v>Feb</c:v>
                  </c:pt>
                  <c:pt idx="8">
                    <c:v>Mar</c:v>
                  </c:pt>
                  <c:pt idx="9">
                    <c:v>Apr</c:v>
                  </c:pt>
                  <c:pt idx="10">
                    <c:v>May</c:v>
                  </c:pt>
                </c:lvl>
                <c:lvl>
                  <c:pt idx="0">
                    <c:v>2024</c:v>
                  </c:pt>
                  <c:pt idx="6">
                    <c:v>2025</c:v>
                  </c:pt>
                </c:lvl>
              </c:multiLvlStrCache>
            </c:multiLvlStrRef>
          </c:cat>
          <c:val>
            <c:numRef>
              <c:f>Sheet5!$F$5:$F$18</c:f>
              <c:numCache>
                <c:formatCode>General</c:formatCode>
                <c:ptCount val="11"/>
                <c:pt idx="1">
                  <c:v>56.68</c:v>
                </c:pt>
                <c:pt idx="4">
                  <c:v>45</c:v>
                </c:pt>
                <c:pt idx="5">
                  <c:v>30</c:v>
                </c:pt>
                <c:pt idx="6">
                  <c:v>31.14</c:v>
                </c:pt>
                <c:pt idx="9">
                  <c:v>11.22</c:v>
                </c:pt>
              </c:numCache>
            </c:numRef>
          </c:val>
          <c:smooth val="0"/>
          <c:extLst>
            <c:ext xmlns:c16="http://schemas.microsoft.com/office/drawing/2014/chart" uri="{C3380CC4-5D6E-409C-BE32-E72D297353CC}">
              <c16:uniqueId val="{0000000E-03B2-4D26-8588-EE2E522991A7}"/>
            </c:ext>
          </c:extLst>
        </c:ser>
        <c:ser>
          <c:idx val="5"/>
          <c:order val="5"/>
          <c:tx>
            <c:strRef>
              <c:f>Sheet5!$G$3:$G$4</c:f>
              <c:strCache>
                <c:ptCount val="1"/>
                <c:pt idx="0">
                  <c:v>Mocha</c:v>
                </c:pt>
              </c:strCache>
            </c:strRef>
          </c:tx>
          <c:spPr>
            <a:ln w="28575" cap="rnd">
              <a:solidFill>
                <a:schemeClr val="accent6"/>
              </a:solidFill>
              <a:round/>
            </a:ln>
            <a:effectLst/>
          </c:spPr>
          <c:marker>
            <c:symbol val="none"/>
          </c:marker>
          <c:cat>
            <c:multiLvlStrRef>
              <c:f>Sheet5!$A$5:$A$18</c:f>
              <c:multiLvlStrCache>
                <c:ptCount val="11"/>
                <c:lvl>
                  <c:pt idx="0">
                    <c:v>Jun</c:v>
                  </c:pt>
                  <c:pt idx="1">
                    <c:v>Jul</c:v>
                  </c:pt>
                  <c:pt idx="2">
                    <c:v>Aug</c:v>
                  </c:pt>
                  <c:pt idx="3">
                    <c:v>Oct</c:v>
                  </c:pt>
                  <c:pt idx="4">
                    <c:v>Nov</c:v>
                  </c:pt>
                  <c:pt idx="5">
                    <c:v>Dec</c:v>
                  </c:pt>
                  <c:pt idx="6">
                    <c:v>Jan</c:v>
                  </c:pt>
                  <c:pt idx="7">
                    <c:v>Feb</c:v>
                  </c:pt>
                  <c:pt idx="8">
                    <c:v>Mar</c:v>
                  </c:pt>
                  <c:pt idx="9">
                    <c:v>Apr</c:v>
                  </c:pt>
                  <c:pt idx="10">
                    <c:v>May</c:v>
                  </c:pt>
                </c:lvl>
                <c:lvl>
                  <c:pt idx="0">
                    <c:v>2024</c:v>
                  </c:pt>
                  <c:pt idx="6">
                    <c:v>2025</c:v>
                  </c:pt>
                </c:lvl>
              </c:multiLvlStrCache>
            </c:multiLvlStrRef>
          </c:cat>
          <c:val>
            <c:numRef>
              <c:f>Sheet5!$G$5:$G$18</c:f>
              <c:numCache>
                <c:formatCode>General</c:formatCode>
                <c:ptCount val="11"/>
                <c:pt idx="0">
                  <c:v>57.36</c:v>
                </c:pt>
                <c:pt idx="1">
                  <c:v>9.6</c:v>
                </c:pt>
                <c:pt idx="3">
                  <c:v>47.400000000000006</c:v>
                </c:pt>
                <c:pt idx="4">
                  <c:v>13.25</c:v>
                </c:pt>
                <c:pt idx="6">
                  <c:v>42.84</c:v>
                </c:pt>
                <c:pt idx="7">
                  <c:v>54.4</c:v>
                </c:pt>
                <c:pt idx="8">
                  <c:v>5.5</c:v>
                </c:pt>
              </c:numCache>
            </c:numRef>
          </c:val>
          <c:smooth val="0"/>
          <c:extLst>
            <c:ext xmlns:c16="http://schemas.microsoft.com/office/drawing/2014/chart" uri="{C3380CC4-5D6E-409C-BE32-E72D297353CC}">
              <c16:uniqueId val="{0000000F-03B2-4D26-8588-EE2E522991A7}"/>
            </c:ext>
          </c:extLst>
        </c:ser>
        <c:dLbls>
          <c:showLegendKey val="0"/>
          <c:showVal val="0"/>
          <c:showCatName val="0"/>
          <c:showSerName val="0"/>
          <c:showPercent val="0"/>
          <c:showBubbleSize val="0"/>
        </c:dLbls>
        <c:smooth val="0"/>
        <c:axId val="1126099791"/>
        <c:axId val="1126103535"/>
      </c:lineChart>
      <c:catAx>
        <c:axId val="1126099791"/>
        <c:scaling>
          <c:orientation val="minMax"/>
        </c:scaling>
        <c:delete val="0"/>
        <c:axPos val="b"/>
        <c:numFmt formatCode="General" sourceLinked="1"/>
        <c:majorTickMark val="none"/>
        <c:minorTickMark val="none"/>
        <c:tickLblPos val="nextTo"/>
        <c:spPr>
          <a:solidFill>
            <a:sysClr val="window" lastClr="FFFFFF"/>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103535"/>
        <c:crosses val="autoZero"/>
        <c:auto val="1"/>
        <c:lblAlgn val="ctr"/>
        <c:lblOffset val="100"/>
        <c:noMultiLvlLbl val="0"/>
      </c:catAx>
      <c:valAx>
        <c:axId val="1126103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ysClr val="window" lastClr="FFFFFF"/>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099791"/>
        <c:crosses val="autoZero"/>
        <c:crossBetween val="between"/>
      </c:valAx>
      <c:spPr>
        <a:noFill/>
        <a:ln>
          <a:noFill/>
        </a:ln>
        <a:effectLst/>
      </c:spPr>
    </c:plotArea>
    <c:legend>
      <c:legendPos val="r"/>
      <c:layout/>
      <c:overlay val="0"/>
      <c:spPr>
        <a:solidFill>
          <a:sysClr val="window" lastClr="FFFFFF"/>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rgbClr val="00206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[project.xlsx]Sheet2!PivotTable7</c:name>
    <c:fmtId val="4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Customer</a:t>
            </a:r>
            <a:endParaRPr lang="en-IN"/>
          </a:p>
        </c:rich>
      </c:tx>
      <c:layout>
        <c:manualLayout>
          <c:xMode val="edge"/>
          <c:yMode val="edge"/>
          <c:x val="0.54993044619422571"/>
          <c:y val="0.12860892388451445"/>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Sheet2!$B$3</c:f>
              <c:strCache>
                <c:ptCount val="1"/>
                <c:pt idx="0">
                  <c:v>Total</c:v>
                </c:pt>
              </c:strCache>
            </c:strRef>
          </c:tx>
          <c:spPr>
            <a:solidFill>
              <a:schemeClr val="accent1"/>
            </a:solidFill>
            <a:ln>
              <a:noFill/>
            </a:ln>
            <a:effectLst/>
            <a:sp3d/>
          </c:spPr>
          <c:invertIfNegative val="0"/>
          <c:cat>
            <c:strRef>
              <c:f>Sheet2!$A$4:$A$8</c:f>
              <c:strCache>
                <c:ptCount val="5"/>
                <c:pt idx="0">
                  <c:v>Jennifer Rodriguez</c:v>
                </c:pt>
                <c:pt idx="1">
                  <c:v>Dustin Levy</c:v>
                </c:pt>
                <c:pt idx="2">
                  <c:v>Timothy Anderson</c:v>
                </c:pt>
                <c:pt idx="3">
                  <c:v>Joshua Oneal</c:v>
                </c:pt>
                <c:pt idx="4">
                  <c:v>Natalie Cox</c:v>
                </c:pt>
              </c:strCache>
            </c:strRef>
          </c:cat>
          <c:val>
            <c:numRef>
              <c:f>Sheet2!$B$4:$B$8</c:f>
              <c:numCache>
                <c:formatCode>0</c:formatCode>
                <c:ptCount val="5"/>
                <c:pt idx="0">
                  <c:v>64.72</c:v>
                </c:pt>
                <c:pt idx="1">
                  <c:v>77.36</c:v>
                </c:pt>
                <c:pt idx="2">
                  <c:v>117.91</c:v>
                </c:pt>
                <c:pt idx="3">
                  <c:v>118.13</c:v>
                </c:pt>
                <c:pt idx="4">
                  <c:v>150.4</c:v>
                </c:pt>
              </c:numCache>
            </c:numRef>
          </c:val>
          <c:extLst>
            <c:ext xmlns:c16="http://schemas.microsoft.com/office/drawing/2014/chart" uri="{C3380CC4-5D6E-409C-BE32-E72D297353CC}">
              <c16:uniqueId val="{00000000-A92F-4D3A-ACAF-25A9B36B97AC}"/>
            </c:ext>
          </c:extLst>
        </c:ser>
        <c:dLbls>
          <c:showLegendKey val="0"/>
          <c:showVal val="0"/>
          <c:showCatName val="0"/>
          <c:showSerName val="0"/>
          <c:showPercent val="0"/>
          <c:showBubbleSize val="0"/>
        </c:dLbls>
        <c:gapWidth val="150"/>
        <c:shape val="box"/>
        <c:axId val="62314272"/>
        <c:axId val="62310944"/>
        <c:axId val="0"/>
      </c:bar3DChart>
      <c:catAx>
        <c:axId val="62314272"/>
        <c:scaling>
          <c:orientation val="minMax"/>
        </c:scaling>
        <c:delete val="0"/>
        <c:axPos val="l"/>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10944"/>
        <c:crosses val="autoZero"/>
        <c:auto val="1"/>
        <c:lblAlgn val="ctr"/>
        <c:lblOffset val="100"/>
        <c:noMultiLvlLbl val="0"/>
      </c:catAx>
      <c:valAx>
        <c:axId val="6231094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14272"/>
        <c:crosses val="autoZero"/>
        <c:crossBetween val="between"/>
      </c:valAx>
      <c:spPr>
        <a:noFill/>
        <a:ln>
          <a:noFill/>
        </a:ln>
        <a:effectLst/>
      </c:spPr>
    </c:plotArea>
    <c:legend>
      <c:legendPos val="r"/>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00206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over country</a:t>
            </a:r>
            <a:endParaRPr lang="en-US"/>
          </a:p>
        </c:rich>
      </c:tx>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Sheet1!$A$4:$A$20</c:f>
              <c:strCache>
                <c:ptCount val="16"/>
                <c:pt idx="0">
                  <c:v>Anguilla</c:v>
                </c:pt>
                <c:pt idx="1">
                  <c:v>Bhutan</c:v>
                </c:pt>
                <c:pt idx="2">
                  <c:v>Cayman Islands</c:v>
                </c:pt>
                <c:pt idx="3">
                  <c:v>Congo</c:v>
                </c:pt>
                <c:pt idx="4">
                  <c:v>Cook Islands</c:v>
                </c:pt>
                <c:pt idx="5">
                  <c:v>Greenland</c:v>
                </c:pt>
                <c:pt idx="6">
                  <c:v>Moldova</c:v>
                </c:pt>
                <c:pt idx="7">
                  <c:v>Montenegro</c:v>
                </c:pt>
                <c:pt idx="8">
                  <c:v>Montserrat</c:v>
                </c:pt>
                <c:pt idx="9">
                  <c:v>Namibia</c:v>
                </c:pt>
                <c:pt idx="10">
                  <c:v>Northern Mariana Islands</c:v>
                </c:pt>
                <c:pt idx="11">
                  <c:v>Slovenia</c:v>
                </c:pt>
                <c:pt idx="12">
                  <c:v>Turks and Caicos Islands</c:v>
                </c:pt>
                <c:pt idx="13">
                  <c:v>Tuvalu</c:v>
                </c:pt>
                <c:pt idx="14">
                  <c:v>Uruguay</c:v>
                </c:pt>
                <c:pt idx="15">
                  <c:v>Zambia</c:v>
                </c:pt>
              </c:strCache>
            </c:strRef>
          </c:cat>
          <c:val>
            <c:numRef>
              <c:f>Sheet1!$B$4:$B$20</c:f>
              <c:numCache>
                <c:formatCode>General</c:formatCode>
                <c:ptCount val="16"/>
                <c:pt idx="0">
                  <c:v>44.12</c:v>
                </c:pt>
                <c:pt idx="1">
                  <c:v>42</c:v>
                </c:pt>
                <c:pt idx="2">
                  <c:v>9.6</c:v>
                </c:pt>
                <c:pt idx="3">
                  <c:v>37.9</c:v>
                </c:pt>
                <c:pt idx="4">
                  <c:v>98.36</c:v>
                </c:pt>
                <c:pt idx="5">
                  <c:v>39.24</c:v>
                </c:pt>
                <c:pt idx="6">
                  <c:v>33.840000000000003</c:v>
                </c:pt>
                <c:pt idx="7">
                  <c:v>157.63999999999999</c:v>
                </c:pt>
                <c:pt idx="8">
                  <c:v>38.4</c:v>
                </c:pt>
                <c:pt idx="9">
                  <c:v>20.73</c:v>
                </c:pt>
                <c:pt idx="10">
                  <c:v>150.4</c:v>
                </c:pt>
                <c:pt idx="11">
                  <c:v>57.47</c:v>
                </c:pt>
                <c:pt idx="12">
                  <c:v>42.660000000000004</c:v>
                </c:pt>
                <c:pt idx="13">
                  <c:v>28.92</c:v>
                </c:pt>
                <c:pt idx="14">
                  <c:v>64.72</c:v>
                </c:pt>
                <c:pt idx="15">
                  <c:v>48.120000000000005</c:v>
                </c:pt>
              </c:numCache>
            </c:numRef>
          </c:val>
          <c:extLst>
            <c:ext xmlns:c16="http://schemas.microsoft.com/office/drawing/2014/chart" uri="{C3380CC4-5D6E-409C-BE32-E72D297353CC}">
              <c16:uniqueId val="{00000000-8623-4EA2-9BC0-0E862E37C0E1}"/>
            </c:ext>
          </c:extLst>
        </c:ser>
        <c:dLbls>
          <c:showLegendKey val="0"/>
          <c:showVal val="0"/>
          <c:showCatName val="0"/>
          <c:showSerName val="0"/>
          <c:showPercent val="0"/>
          <c:showBubbleSize val="0"/>
        </c:dLbls>
        <c:gapWidth val="182"/>
        <c:axId val="1137217199"/>
        <c:axId val="1137221775"/>
      </c:barChart>
      <c:catAx>
        <c:axId val="1137217199"/>
        <c:scaling>
          <c:orientation val="minMax"/>
        </c:scaling>
        <c:delete val="0"/>
        <c:axPos val="l"/>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221775"/>
        <c:crosses val="autoZero"/>
        <c:auto val="1"/>
        <c:lblAlgn val="ctr"/>
        <c:lblOffset val="100"/>
        <c:noMultiLvlLbl val="0"/>
      </c:catAx>
      <c:valAx>
        <c:axId val="11372217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217199"/>
        <c:crosses val="autoZero"/>
        <c:crossBetween val="between"/>
      </c:valAx>
      <c:spPr>
        <a:noFill/>
        <a:ln>
          <a:noFill/>
        </a:ln>
        <a:effectLst/>
      </c:spPr>
    </c:plotArea>
    <c:legend>
      <c:legendPos val="r"/>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00206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[project.xlsx]Sheet2!PivotTable7</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Total</a:t>
            </a:r>
            <a:r>
              <a:rPr lang="en-IN" b="1" baseline="0"/>
              <a:t> sales over time</a:t>
            </a:r>
            <a:endParaRPr lang="en-IN" b="1"/>
          </a:p>
        </c:rich>
      </c:tx>
      <c:layout>
        <c:manualLayout>
          <c:xMode val="edge"/>
          <c:yMode val="edge"/>
          <c:x val="0.42349954060008499"/>
          <c:y val="1.490937893118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solidFill>
            <a:schemeClr val="accent1"/>
          </a:solidFill>
          <a:ln w="28575" cap="rnd">
            <a:solidFill>
              <a:schemeClr val="accent1"/>
            </a:solidFill>
            <a:round/>
          </a:ln>
          <a:effectLst/>
        </c:spPr>
        <c:marker>
          <c:symbol val="none"/>
        </c:marker>
      </c:pivotFmt>
      <c:pivotFmt>
        <c:idx val="11"/>
        <c:spPr>
          <a:solidFill>
            <a:schemeClr val="accent1"/>
          </a:solidFill>
          <a:ln w="28575" cap="rnd">
            <a:solidFill>
              <a:schemeClr val="accent1"/>
            </a:solidFill>
            <a:round/>
          </a:ln>
          <a:effectLst/>
        </c:spPr>
        <c:marker>
          <c:symbol val="none"/>
        </c:marker>
      </c:pivotFmt>
      <c:pivotFmt>
        <c:idx val="12"/>
        <c:spPr>
          <a:solidFill>
            <a:schemeClr val="accent1"/>
          </a:solidFill>
          <a:ln w="28575" cap="rnd">
            <a:solidFill>
              <a:schemeClr val="accent1"/>
            </a:solidFill>
            <a:round/>
          </a:ln>
          <a:effectLst/>
        </c:spPr>
        <c:marker>
          <c:symbol val="none"/>
        </c:marker>
      </c:pivotFmt>
      <c:pivotFmt>
        <c:idx val="13"/>
        <c:spPr>
          <a:solidFill>
            <a:schemeClr val="accent1"/>
          </a:solidFill>
          <a:ln w="28575" cap="rnd">
            <a:solidFill>
              <a:schemeClr val="accent1"/>
            </a:solidFill>
            <a:round/>
          </a:ln>
          <a:effectLst/>
        </c:spPr>
        <c:marker>
          <c:symbol val="none"/>
        </c:marker>
      </c:pivotFmt>
      <c:pivotFmt>
        <c:idx val="14"/>
        <c:spPr>
          <a:solidFill>
            <a:schemeClr val="accent1"/>
          </a:solidFill>
          <a:ln w="28575" cap="rnd">
            <a:solidFill>
              <a:schemeClr val="accent1"/>
            </a:solidFill>
            <a:round/>
          </a:ln>
          <a:effectLst/>
        </c:spPr>
        <c:marker>
          <c:symbol val="none"/>
        </c:marker>
      </c:pivotFmt>
      <c:pivotFmt>
        <c:idx val="15"/>
        <c:spPr>
          <a:solidFill>
            <a:schemeClr val="accent1"/>
          </a:solidFill>
          <a:ln w="28575" cap="rnd">
            <a:solidFill>
              <a:schemeClr val="accent1"/>
            </a:solidFill>
            <a:round/>
          </a:ln>
          <a:effectLst/>
        </c:spPr>
        <c:marker>
          <c:symbol val="none"/>
        </c:marker>
      </c:pivotFmt>
      <c:pivotFmt>
        <c:idx val="16"/>
        <c:spPr>
          <a:solidFill>
            <a:schemeClr val="accent1"/>
          </a:solidFill>
          <a:ln w="28575" cap="rnd">
            <a:solidFill>
              <a:schemeClr val="accent1"/>
            </a:solidFill>
            <a:round/>
          </a:ln>
          <a:effectLst/>
        </c:spPr>
        <c:marker>
          <c:symbol val="none"/>
        </c:marker>
      </c:pivotFmt>
      <c:pivotFmt>
        <c:idx val="17"/>
        <c:spPr>
          <a:solidFill>
            <a:schemeClr val="accent1"/>
          </a:solidFill>
          <a:ln w="28575" cap="rnd">
            <a:solidFill>
              <a:schemeClr val="accent1"/>
            </a:solidFill>
            <a:round/>
          </a:ln>
          <a:effectLst/>
        </c:spPr>
        <c:marker>
          <c:symbol val="none"/>
        </c:marker>
      </c:pivotFmt>
      <c:pivotFmt>
        <c:idx val="18"/>
        <c:spPr>
          <a:solidFill>
            <a:schemeClr val="accent1"/>
          </a:solidFill>
          <a:ln w="28575" cap="rnd">
            <a:solidFill>
              <a:schemeClr val="accent1"/>
            </a:solidFill>
            <a:round/>
          </a:ln>
          <a:effectLst/>
        </c:spPr>
        <c:marker>
          <c:symbol val="none"/>
        </c:marker>
      </c:pivotFmt>
      <c:pivotFmt>
        <c:idx val="19"/>
        <c:spPr>
          <a:solidFill>
            <a:schemeClr val="accent1"/>
          </a:solidFill>
          <a:ln w="28575" cap="rnd">
            <a:solidFill>
              <a:schemeClr val="accent1"/>
            </a:solidFill>
            <a:round/>
          </a:ln>
          <a:effectLst/>
        </c:spPr>
        <c:marker>
          <c:symbol val="none"/>
        </c:marker>
      </c:pivotFmt>
      <c:pivotFmt>
        <c:idx val="20"/>
        <c:spPr>
          <a:solidFill>
            <a:schemeClr val="accent1"/>
          </a:solidFill>
          <a:ln w="28575" cap="rnd">
            <a:solidFill>
              <a:schemeClr val="accent1"/>
            </a:solidFill>
            <a:round/>
          </a:ln>
          <a:effectLst/>
        </c:spPr>
        <c:marker>
          <c:symbol val="none"/>
        </c:marker>
      </c:pivotFmt>
      <c:pivotFmt>
        <c:idx val="21"/>
        <c:spPr>
          <a:solidFill>
            <a:schemeClr val="accent1"/>
          </a:solidFill>
          <a:ln w="28575" cap="rnd">
            <a:solidFill>
              <a:schemeClr val="accent1"/>
            </a:solidFill>
            <a:round/>
          </a:ln>
          <a:effectLst/>
        </c:spPr>
        <c:marker>
          <c:symbol val="none"/>
        </c:marker>
      </c:pivotFmt>
      <c:pivotFmt>
        <c:idx val="22"/>
        <c:spPr>
          <a:solidFill>
            <a:schemeClr val="accent1"/>
          </a:solidFill>
          <a:ln w="28575" cap="rnd">
            <a:solidFill>
              <a:schemeClr val="accent1"/>
            </a:solidFill>
            <a:round/>
          </a:ln>
          <a:effectLst/>
        </c:spPr>
        <c:marker>
          <c:symbol val="none"/>
        </c:marker>
      </c:pivotFmt>
      <c:pivotFmt>
        <c:idx val="23"/>
        <c:spPr>
          <a:solidFill>
            <a:schemeClr val="accent1"/>
          </a:solidFill>
          <a:ln w="28575" cap="rnd">
            <a:solidFill>
              <a:schemeClr val="accent1"/>
            </a:solidFill>
            <a:round/>
          </a:ln>
          <a:effectLst/>
        </c:spPr>
        <c:marker>
          <c:symbol val="none"/>
        </c:marker>
      </c:pivotFmt>
      <c:pivotFmt>
        <c:idx val="24"/>
        <c:spPr>
          <a:solidFill>
            <a:schemeClr val="accent1"/>
          </a:solidFill>
          <a:ln w="28575" cap="rnd">
            <a:solidFill>
              <a:schemeClr val="accent1"/>
            </a:solidFill>
            <a:round/>
          </a:ln>
          <a:effectLst/>
        </c:spPr>
        <c:marker>
          <c:symbol val="none"/>
        </c:marker>
      </c:pivotFmt>
      <c:pivotFmt>
        <c:idx val="25"/>
        <c:spPr>
          <a:solidFill>
            <a:schemeClr val="accent1"/>
          </a:solidFill>
          <a:ln w="28575" cap="rnd">
            <a:solidFill>
              <a:schemeClr val="accent1"/>
            </a:solidFill>
            <a:round/>
          </a:ln>
          <a:effectLst/>
        </c:spPr>
        <c:marker>
          <c:symbol val="none"/>
        </c:marker>
      </c:pivotFmt>
      <c:pivotFmt>
        <c:idx val="26"/>
        <c:spPr>
          <a:solidFill>
            <a:schemeClr val="accent1"/>
          </a:solidFill>
          <a:ln w="28575" cap="rnd">
            <a:solidFill>
              <a:schemeClr val="accent1"/>
            </a:solidFill>
            <a:round/>
          </a:ln>
          <a:effectLst/>
        </c:spPr>
        <c:marker>
          <c:symbol val="none"/>
        </c:marker>
      </c:pivotFmt>
      <c:pivotFmt>
        <c:idx val="27"/>
        <c:spPr>
          <a:solidFill>
            <a:schemeClr val="accent1"/>
          </a:solidFill>
          <a:ln w="28575" cap="rnd">
            <a:solidFill>
              <a:schemeClr val="accent1"/>
            </a:solidFill>
            <a:round/>
          </a:ln>
          <a:effectLst/>
        </c:spPr>
        <c:marker>
          <c:symbol val="none"/>
        </c:marker>
      </c:pivotFmt>
      <c:pivotFmt>
        <c:idx val="28"/>
        <c:spPr>
          <a:solidFill>
            <a:schemeClr val="accent1"/>
          </a:solidFill>
          <a:ln w="28575" cap="rnd">
            <a:solidFill>
              <a:schemeClr val="accent1"/>
            </a:solidFill>
            <a:round/>
          </a:ln>
          <a:effectLst/>
        </c:spPr>
        <c:marker>
          <c:symbol val="none"/>
        </c:marker>
      </c:pivotFmt>
      <c:pivotFmt>
        <c:idx val="29"/>
        <c:spPr>
          <a:ln w="28575" cap="rnd">
            <a:solidFill>
              <a:schemeClr val="accent1"/>
            </a:solidFill>
            <a:round/>
          </a:ln>
          <a:effectLst/>
        </c:spPr>
        <c:marker>
          <c:symbol val="none"/>
        </c:marker>
      </c:pivotFmt>
    </c:pivotFmts>
    <c:plotArea>
      <c:layout>
        <c:manualLayout>
          <c:layoutTarget val="inner"/>
          <c:xMode val="edge"/>
          <c:yMode val="edge"/>
          <c:x val="0.10637018082902747"/>
          <c:y val="0.14353880321172871"/>
          <c:w val="0.66811307961504807"/>
          <c:h val="0.73865877712031558"/>
        </c:manualLayout>
      </c:layout>
      <c:lineChart>
        <c:grouping val="stacked"/>
        <c:varyColors val="0"/>
        <c:ser>
          <c:idx val="0"/>
          <c:order val="0"/>
          <c:tx>
            <c:strRef>
              <c:f>Sheet2!$B$3</c:f>
              <c:strCache>
                <c:ptCount val="1"/>
                <c:pt idx="0">
                  <c:v>Total</c:v>
                </c:pt>
              </c:strCache>
            </c:strRef>
          </c:tx>
          <c:spPr>
            <a:ln w="28575" cap="rnd">
              <a:solidFill>
                <a:schemeClr val="accent1"/>
              </a:solidFill>
              <a:round/>
            </a:ln>
            <a:effectLst/>
          </c:spPr>
          <c:marker>
            <c:symbol val="none"/>
          </c:marker>
          <c:cat>
            <c:strRef>
              <c:f>Sheet2!$A$4:$A$8</c:f>
              <c:strCache>
                <c:ptCount val="5"/>
                <c:pt idx="0">
                  <c:v>Jennifer Rodriguez</c:v>
                </c:pt>
                <c:pt idx="1">
                  <c:v>Dustin Levy</c:v>
                </c:pt>
                <c:pt idx="2">
                  <c:v>Timothy Anderson</c:v>
                </c:pt>
                <c:pt idx="3">
                  <c:v>Joshua Oneal</c:v>
                </c:pt>
                <c:pt idx="4">
                  <c:v>Natalie Cox</c:v>
                </c:pt>
              </c:strCache>
            </c:strRef>
          </c:cat>
          <c:val>
            <c:numRef>
              <c:f>Sheet2!$B$4:$B$8</c:f>
              <c:numCache>
                <c:formatCode>0</c:formatCode>
                <c:ptCount val="5"/>
                <c:pt idx="0">
                  <c:v>64.72</c:v>
                </c:pt>
                <c:pt idx="1">
                  <c:v>77.36</c:v>
                </c:pt>
                <c:pt idx="2">
                  <c:v>117.91</c:v>
                </c:pt>
                <c:pt idx="3">
                  <c:v>118.13</c:v>
                </c:pt>
                <c:pt idx="4">
                  <c:v>150.4</c:v>
                </c:pt>
              </c:numCache>
            </c:numRef>
          </c:val>
          <c:smooth val="0"/>
          <c:extLst>
            <c:ext xmlns:c16="http://schemas.microsoft.com/office/drawing/2014/chart" uri="{C3380CC4-5D6E-409C-BE32-E72D297353CC}">
              <c16:uniqueId val="{00000000-CB67-4324-A6AC-8097E9BEEC4A}"/>
            </c:ext>
          </c:extLst>
        </c:ser>
        <c:dLbls>
          <c:showLegendKey val="0"/>
          <c:showVal val="0"/>
          <c:showCatName val="0"/>
          <c:showSerName val="0"/>
          <c:showPercent val="0"/>
          <c:showBubbleSize val="0"/>
        </c:dLbls>
        <c:smooth val="0"/>
        <c:axId val="2028871744"/>
        <c:axId val="2028869248"/>
      </c:lineChart>
      <c:catAx>
        <c:axId val="202887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869248"/>
        <c:crosses val="autoZero"/>
        <c:auto val="1"/>
        <c:lblAlgn val="ctr"/>
        <c:lblOffset val="100"/>
        <c:noMultiLvlLbl val="0"/>
      </c:catAx>
      <c:valAx>
        <c:axId val="2028869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871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rgbClr val="00206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[project.xlsx]Sheet2!PivotTable7</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over country</a:t>
            </a:r>
            <a:endParaRPr lang="en-IN"/>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Sheet2!$B$3</c:f>
              <c:strCache>
                <c:ptCount val="1"/>
                <c:pt idx="0">
                  <c:v>Total</c:v>
                </c:pt>
              </c:strCache>
            </c:strRef>
          </c:tx>
          <c:spPr>
            <a:solidFill>
              <a:schemeClr val="accent1"/>
            </a:solidFill>
            <a:ln>
              <a:noFill/>
            </a:ln>
            <a:effectLst/>
            <a:sp3d/>
          </c:spPr>
          <c:invertIfNegative val="0"/>
          <c:cat>
            <c:strRef>
              <c:f>Sheet2!$A$4:$A$8</c:f>
              <c:strCache>
                <c:ptCount val="5"/>
                <c:pt idx="0">
                  <c:v>Jennifer Rodriguez</c:v>
                </c:pt>
                <c:pt idx="1">
                  <c:v>Dustin Levy</c:v>
                </c:pt>
                <c:pt idx="2">
                  <c:v>Timothy Anderson</c:v>
                </c:pt>
                <c:pt idx="3">
                  <c:v>Joshua Oneal</c:v>
                </c:pt>
                <c:pt idx="4">
                  <c:v>Natalie Cox</c:v>
                </c:pt>
              </c:strCache>
            </c:strRef>
          </c:cat>
          <c:val>
            <c:numRef>
              <c:f>Sheet2!$B$4:$B$8</c:f>
              <c:numCache>
                <c:formatCode>0</c:formatCode>
                <c:ptCount val="5"/>
                <c:pt idx="0">
                  <c:v>64.72</c:v>
                </c:pt>
                <c:pt idx="1">
                  <c:v>77.36</c:v>
                </c:pt>
                <c:pt idx="2">
                  <c:v>117.91</c:v>
                </c:pt>
                <c:pt idx="3">
                  <c:v>118.13</c:v>
                </c:pt>
                <c:pt idx="4">
                  <c:v>150.4</c:v>
                </c:pt>
              </c:numCache>
            </c:numRef>
          </c:val>
          <c:extLst>
            <c:ext xmlns:c16="http://schemas.microsoft.com/office/drawing/2014/chart" uri="{C3380CC4-5D6E-409C-BE32-E72D297353CC}">
              <c16:uniqueId val="{00000000-E997-4447-B87F-86D6E3B8660D}"/>
            </c:ext>
          </c:extLst>
        </c:ser>
        <c:dLbls>
          <c:showLegendKey val="0"/>
          <c:showVal val="0"/>
          <c:showCatName val="0"/>
          <c:showSerName val="0"/>
          <c:showPercent val="0"/>
          <c:showBubbleSize val="0"/>
        </c:dLbls>
        <c:gapWidth val="150"/>
        <c:shape val="box"/>
        <c:axId val="62499040"/>
        <c:axId val="62495296"/>
        <c:axId val="0"/>
      </c:bar3DChart>
      <c:catAx>
        <c:axId val="62499040"/>
        <c:scaling>
          <c:orientation val="minMax"/>
        </c:scaling>
        <c:delete val="0"/>
        <c:axPos val="l"/>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95296"/>
        <c:crosses val="autoZero"/>
        <c:auto val="1"/>
        <c:lblAlgn val="ctr"/>
        <c:lblOffset val="100"/>
        <c:noMultiLvlLbl val="0"/>
      </c:catAx>
      <c:valAx>
        <c:axId val="6249529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99040"/>
        <c:crosses val="autoZero"/>
        <c:crossBetween val="between"/>
      </c:valAx>
      <c:spPr>
        <a:noFill/>
        <a:ln>
          <a:noFill/>
        </a:ln>
        <a:effectLst/>
      </c:spPr>
    </c:plotArea>
    <c:legend>
      <c:legendPos val="r"/>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00206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[project.xlsx]Sheet2!PivotTable7</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Customer</a:t>
            </a:r>
            <a:endParaRPr lang="en-IN"/>
          </a:p>
        </c:rich>
      </c:tx>
      <c:layout>
        <c:manualLayout>
          <c:xMode val="edge"/>
          <c:yMode val="edge"/>
          <c:x val="0.54993044619422571"/>
          <c:y val="0.12860892388451445"/>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Sheet2!$B$3</c:f>
              <c:strCache>
                <c:ptCount val="1"/>
                <c:pt idx="0">
                  <c:v>Total</c:v>
                </c:pt>
              </c:strCache>
            </c:strRef>
          </c:tx>
          <c:spPr>
            <a:solidFill>
              <a:schemeClr val="accent1"/>
            </a:solidFill>
            <a:ln>
              <a:noFill/>
            </a:ln>
            <a:effectLst/>
            <a:sp3d/>
          </c:spPr>
          <c:invertIfNegative val="0"/>
          <c:cat>
            <c:strRef>
              <c:f>Sheet2!$A$4:$A$8</c:f>
              <c:strCache>
                <c:ptCount val="5"/>
                <c:pt idx="0">
                  <c:v>Jennifer Rodriguez</c:v>
                </c:pt>
                <c:pt idx="1">
                  <c:v>Dustin Levy</c:v>
                </c:pt>
                <c:pt idx="2">
                  <c:v>Timothy Anderson</c:v>
                </c:pt>
                <c:pt idx="3">
                  <c:v>Joshua Oneal</c:v>
                </c:pt>
                <c:pt idx="4">
                  <c:v>Natalie Cox</c:v>
                </c:pt>
              </c:strCache>
            </c:strRef>
          </c:cat>
          <c:val>
            <c:numRef>
              <c:f>Sheet2!$B$4:$B$8</c:f>
              <c:numCache>
                <c:formatCode>0</c:formatCode>
                <c:ptCount val="5"/>
                <c:pt idx="0">
                  <c:v>64.72</c:v>
                </c:pt>
                <c:pt idx="1">
                  <c:v>77.36</c:v>
                </c:pt>
                <c:pt idx="2">
                  <c:v>117.91</c:v>
                </c:pt>
                <c:pt idx="3">
                  <c:v>118.13</c:v>
                </c:pt>
                <c:pt idx="4">
                  <c:v>150.4</c:v>
                </c:pt>
              </c:numCache>
            </c:numRef>
          </c:val>
          <c:extLst>
            <c:ext xmlns:c16="http://schemas.microsoft.com/office/drawing/2014/chart" uri="{C3380CC4-5D6E-409C-BE32-E72D297353CC}">
              <c16:uniqueId val="{00000000-4C33-46BF-9F7B-EF134C6FD672}"/>
            </c:ext>
          </c:extLst>
        </c:ser>
        <c:dLbls>
          <c:showLegendKey val="0"/>
          <c:showVal val="0"/>
          <c:showCatName val="0"/>
          <c:showSerName val="0"/>
          <c:showPercent val="0"/>
          <c:showBubbleSize val="0"/>
        </c:dLbls>
        <c:gapWidth val="150"/>
        <c:shape val="box"/>
        <c:axId val="62314272"/>
        <c:axId val="62310944"/>
        <c:axId val="0"/>
      </c:bar3DChart>
      <c:catAx>
        <c:axId val="62314272"/>
        <c:scaling>
          <c:orientation val="minMax"/>
        </c:scaling>
        <c:delete val="0"/>
        <c:axPos val="l"/>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10944"/>
        <c:crosses val="autoZero"/>
        <c:auto val="1"/>
        <c:lblAlgn val="ctr"/>
        <c:lblOffset val="100"/>
        <c:noMultiLvlLbl val="0"/>
      </c:catAx>
      <c:valAx>
        <c:axId val="6231094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14272"/>
        <c:crosses val="autoZero"/>
        <c:crossBetween val="between"/>
      </c:valAx>
      <c:spPr>
        <a:noFill/>
        <a:ln>
          <a:noFill/>
        </a:ln>
        <a:effectLst/>
      </c:spPr>
    </c:plotArea>
    <c:legend>
      <c:legendPos val="r"/>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00206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[project.xlsx]Sheet5!PivotTable8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over time</a:t>
            </a:r>
            <a:endParaRPr lang="en-IN"/>
          </a:p>
        </c:rich>
      </c:tx>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cked"/>
        <c:varyColors val="0"/>
        <c:ser>
          <c:idx val="0"/>
          <c:order val="0"/>
          <c:tx>
            <c:strRef>
              <c:f>Sheet5!$B$3:$B$4</c:f>
              <c:strCache>
                <c:ptCount val="1"/>
                <c:pt idx="0">
                  <c:v>Americano</c:v>
                </c:pt>
              </c:strCache>
            </c:strRef>
          </c:tx>
          <c:spPr>
            <a:ln w="28575" cap="rnd">
              <a:solidFill>
                <a:schemeClr val="accent1"/>
              </a:solidFill>
              <a:round/>
            </a:ln>
            <a:effectLst/>
          </c:spPr>
          <c:marker>
            <c:symbol val="none"/>
          </c:marker>
          <c:cat>
            <c:multiLvlStrRef>
              <c:f>Sheet5!$A$5:$A$18</c:f>
              <c:multiLvlStrCache>
                <c:ptCount val="11"/>
                <c:lvl>
                  <c:pt idx="0">
                    <c:v>Jun</c:v>
                  </c:pt>
                  <c:pt idx="1">
                    <c:v>Jul</c:v>
                  </c:pt>
                  <c:pt idx="2">
                    <c:v>Aug</c:v>
                  </c:pt>
                  <c:pt idx="3">
                    <c:v>Oct</c:v>
                  </c:pt>
                  <c:pt idx="4">
                    <c:v>Nov</c:v>
                  </c:pt>
                  <c:pt idx="5">
                    <c:v>Dec</c:v>
                  </c:pt>
                  <c:pt idx="6">
                    <c:v>Jan</c:v>
                  </c:pt>
                  <c:pt idx="7">
                    <c:v>Feb</c:v>
                  </c:pt>
                  <c:pt idx="8">
                    <c:v>Mar</c:v>
                  </c:pt>
                  <c:pt idx="9">
                    <c:v>Apr</c:v>
                  </c:pt>
                  <c:pt idx="10">
                    <c:v>May</c:v>
                  </c:pt>
                </c:lvl>
                <c:lvl>
                  <c:pt idx="0">
                    <c:v>2024</c:v>
                  </c:pt>
                  <c:pt idx="6">
                    <c:v>2025</c:v>
                  </c:pt>
                </c:lvl>
              </c:multiLvlStrCache>
            </c:multiLvlStrRef>
          </c:cat>
          <c:val>
            <c:numRef>
              <c:f>Sheet5!$B$5:$B$18</c:f>
              <c:numCache>
                <c:formatCode>General</c:formatCode>
                <c:ptCount val="11"/>
                <c:pt idx="1">
                  <c:v>28.92</c:v>
                </c:pt>
                <c:pt idx="2">
                  <c:v>39.33</c:v>
                </c:pt>
                <c:pt idx="3">
                  <c:v>5.4</c:v>
                </c:pt>
                <c:pt idx="7">
                  <c:v>14.46</c:v>
                </c:pt>
                <c:pt idx="8">
                  <c:v>48.2</c:v>
                </c:pt>
              </c:numCache>
            </c:numRef>
          </c:val>
          <c:smooth val="0"/>
          <c:extLst>
            <c:ext xmlns:c16="http://schemas.microsoft.com/office/drawing/2014/chart" uri="{C3380CC4-5D6E-409C-BE32-E72D297353CC}">
              <c16:uniqueId val="{00000000-A272-4484-8E96-E1E9FFE07FF2}"/>
            </c:ext>
          </c:extLst>
        </c:ser>
        <c:ser>
          <c:idx val="1"/>
          <c:order val="1"/>
          <c:tx>
            <c:strRef>
              <c:f>Sheet5!$C$3:$C$4</c:f>
              <c:strCache>
                <c:ptCount val="1"/>
                <c:pt idx="0">
                  <c:v>Cappuccino</c:v>
                </c:pt>
              </c:strCache>
            </c:strRef>
          </c:tx>
          <c:spPr>
            <a:ln w="28575" cap="rnd">
              <a:solidFill>
                <a:schemeClr val="accent2"/>
              </a:solidFill>
              <a:round/>
            </a:ln>
            <a:effectLst/>
          </c:spPr>
          <c:marker>
            <c:symbol val="none"/>
          </c:marker>
          <c:cat>
            <c:multiLvlStrRef>
              <c:f>Sheet5!$A$5:$A$18</c:f>
              <c:multiLvlStrCache>
                <c:ptCount val="11"/>
                <c:lvl>
                  <c:pt idx="0">
                    <c:v>Jun</c:v>
                  </c:pt>
                  <c:pt idx="1">
                    <c:v>Jul</c:v>
                  </c:pt>
                  <c:pt idx="2">
                    <c:v>Aug</c:v>
                  </c:pt>
                  <c:pt idx="3">
                    <c:v>Oct</c:v>
                  </c:pt>
                  <c:pt idx="4">
                    <c:v>Nov</c:v>
                  </c:pt>
                  <c:pt idx="5">
                    <c:v>Dec</c:v>
                  </c:pt>
                  <c:pt idx="6">
                    <c:v>Jan</c:v>
                  </c:pt>
                  <c:pt idx="7">
                    <c:v>Feb</c:v>
                  </c:pt>
                  <c:pt idx="8">
                    <c:v>Mar</c:v>
                  </c:pt>
                  <c:pt idx="9">
                    <c:v>Apr</c:v>
                  </c:pt>
                  <c:pt idx="10">
                    <c:v>May</c:v>
                  </c:pt>
                </c:lvl>
                <c:lvl>
                  <c:pt idx="0">
                    <c:v>2024</c:v>
                  </c:pt>
                  <c:pt idx="6">
                    <c:v>2025</c:v>
                  </c:pt>
                </c:lvl>
              </c:multiLvlStrCache>
            </c:multiLvlStrRef>
          </c:cat>
          <c:val>
            <c:numRef>
              <c:f>Sheet5!$C$5:$C$18</c:f>
              <c:numCache>
                <c:formatCode>General</c:formatCode>
                <c:ptCount val="11"/>
                <c:pt idx="7">
                  <c:v>35.36</c:v>
                </c:pt>
                <c:pt idx="9">
                  <c:v>35.36</c:v>
                </c:pt>
              </c:numCache>
            </c:numRef>
          </c:val>
          <c:smooth val="0"/>
          <c:extLst>
            <c:ext xmlns:c16="http://schemas.microsoft.com/office/drawing/2014/chart" uri="{C3380CC4-5D6E-409C-BE32-E72D297353CC}">
              <c16:uniqueId val="{00000007-A272-4484-8E96-E1E9FFE07FF2}"/>
            </c:ext>
          </c:extLst>
        </c:ser>
        <c:ser>
          <c:idx val="2"/>
          <c:order val="2"/>
          <c:tx>
            <c:strRef>
              <c:f>Sheet5!$D$3:$D$4</c:f>
              <c:strCache>
                <c:ptCount val="1"/>
                <c:pt idx="0">
                  <c:v>Espresso</c:v>
                </c:pt>
              </c:strCache>
            </c:strRef>
          </c:tx>
          <c:spPr>
            <a:ln w="28575" cap="rnd">
              <a:solidFill>
                <a:schemeClr val="accent3"/>
              </a:solidFill>
              <a:round/>
            </a:ln>
            <a:effectLst/>
          </c:spPr>
          <c:marker>
            <c:symbol val="none"/>
          </c:marker>
          <c:cat>
            <c:multiLvlStrRef>
              <c:f>Sheet5!$A$5:$A$18</c:f>
              <c:multiLvlStrCache>
                <c:ptCount val="11"/>
                <c:lvl>
                  <c:pt idx="0">
                    <c:v>Jun</c:v>
                  </c:pt>
                  <c:pt idx="1">
                    <c:v>Jul</c:v>
                  </c:pt>
                  <c:pt idx="2">
                    <c:v>Aug</c:v>
                  </c:pt>
                  <c:pt idx="3">
                    <c:v>Oct</c:v>
                  </c:pt>
                  <c:pt idx="4">
                    <c:v>Nov</c:v>
                  </c:pt>
                  <c:pt idx="5">
                    <c:v>Dec</c:v>
                  </c:pt>
                  <c:pt idx="6">
                    <c:v>Jan</c:v>
                  </c:pt>
                  <c:pt idx="7">
                    <c:v>Feb</c:v>
                  </c:pt>
                  <c:pt idx="8">
                    <c:v>Mar</c:v>
                  </c:pt>
                  <c:pt idx="9">
                    <c:v>Apr</c:v>
                  </c:pt>
                  <c:pt idx="10">
                    <c:v>May</c:v>
                  </c:pt>
                </c:lvl>
                <c:lvl>
                  <c:pt idx="0">
                    <c:v>2024</c:v>
                  </c:pt>
                  <c:pt idx="6">
                    <c:v>2025</c:v>
                  </c:pt>
                </c:lvl>
              </c:multiLvlStrCache>
            </c:multiLvlStrRef>
          </c:cat>
          <c:val>
            <c:numRef>
              <c:f>Sheet5!$D$5:$D$18</c:f>
              <c:numCache>
                <c:formatCode>General</c:formatCode>
                <c:ptCount val="11"/>
                <c:pt idx="1">
                  <c:v>51.37</c:v>
                </c:pt>
                <c:pt idx="2">
                  <c:v>28.17</c:v>
                </c:pt>
                <c:pt idx="6">
                  <c:v>49.67</c:v>
                </c:pt>
                <c:pt idx="7">
                  <c:v>3.13</c:v>
                </c:pt>
                <c:pt idx="10">
                  <c:v>38.97</c:v>
                </c:pt>
              </c:numCache>
            </c:numRef>
          </c:val>
          <c:smooth val="0"/>
          <c:extLst>
            <c:ext xmlns:c16="http://schemas.microsoft.com/office/drawing/2014/chart" uri="{C3380CC4-5D6E-409C-BE32-E72D297353CC}">
              <c16:uniqueId val="{0000000C-A272-4484-8E96-E1E9FFE07FF2}"/>
            </c:ext>
          </c:extLst>
        </c:ser>
        <c:ser>
          <c:idx val="3"/>
          <c:order val="3"/>
          <c:tx>
            <c:strRef>
              <c:f>Sheet5!$E$3:$E$4</c:f>
              <c:strCache>
                <c:ptCount val="1"/>
                <c:pt idx="0">
                  <c:v>Flat White</c:v>
                </c:pt>
              </c:strCache>
            </c:strRef>
          </c:tx>
          <c:spPr>
            <a:ln w="28575" cap="rnd">
              <a:solidFill>
                <a:schemeClr val="accent4"/>
              </a:solidFill>
              <a:round/>
            </a:ln>
            <a:effectLst/>
          </c:spPr>
          <c:marker>
            <c:symbol val="none"/>
          </c:marker>
          <c:cat>
            <c:multiLvlStrRef>
              <c:f>Sheet5!$A$5:$A$18</c:f>
              <c:multiLvlStrCache>
                <c:ptCount val="11"/>
                <c:lvl>
                  <c:pt idx="0">
                    <c:v>Jun</c:v>
                  </c:pt>
                  <c:pt idx="1">
                    <c:v>Jul</c:v>
                  </c:pt>
                  <c:pt idx="2">
                    <c:v>Aug</c:v>
                  </c:pt>
                  <c:pt idx="3">
                    <c:v>Oct</c:v>
                  </c:pt>
                  <c:pt idx="4">
                    <c:v>Nov</c:v>
                  </c:pt>
                  <c:pt idx="5">
                    <c:v>Dec</c:v>
                  </c:pt>
                  <c:pt idx="6">
                    <c:v>Jan</c:v>
                  </c:pt>
                  <c:pt idx="7">
                    <c:v>Feb</c:v>
                  </c:pt>
                  <c:pt idx="8">
                    <c:v>Mar</c:v>
                  </c:pt>
                  <c:pt idx="9">
                    <c:v>Apr</c:v>
                  </c:pt>
                  <c:pt idx="10">
                    <c:v>May</c:v>
                  </c:pt>
                </c:lvl>
                <c:lvl>
                  <c:pt idx="0">
                    <c:v>2024</c:v>
                  </c:pt>
                  <c:pt idx="6">
                    <c:v>2025</c:v>
                  </c:pt>
                </c:lvl>
              </c:multiLvlStrCache>
            </c:multiLvlStrRef>
          </c:cat>
          <c:val>
            <c:numRef>
              <c:f>Sheet5!$E$5:$E$18</c:f>
              <c:numCache>
                <c:formatCode>General</c:formatCode>
                <c:ptCount val="11"/>
                <c:pt idx="0">
                  <c:v>28.200000000000003</c:v>
                </c:pt>
                <c:pt idx="1">
                  <c:v>24.88</c:v>
                </c:pt>
                <c:pt idx="2">
                  <c:v>21.16</c:v>
                </c:pt>
                <c:pt idx="7">
                  <c:v>29.160000000000004</c:v>
                </c:pt>
                <c:pt idx="9">
                  <c:v>27.99</c:v>
                </c:pt>
              </c:numCache>
            </c:numRef>
          </c:val>
          <c:smooth val="0"/>
          <c:extLst>
            <c:ext xmlns:c16="http://schemas.microsoft.com/office/drawing/2014/chart" uri="{C3380CC4-5D6E-409C-BE32-E72D297353CC}">
              <c16:uniqueId val="{0000000D-A272-4484-8E96-E1E9FFE07FF2}"/>
            </c:ext>
          </c:extLst>
        </c:ser>
        <c:ser>
          <c:idx val="4"/>
          <c:order val="4"/>
          <c:tx>
            <c:strRef>
              <c:f>Sheet5!$F$3:$F$4</c:f>
              <c:strCache>
                <c:ptCount val="1"/>
                <c:pt idx="0">
                  <c:v>Latte</c:v>
                </c:pt>
              </c:strCache>
            </c:strRef>
          </c:tx>
          <c:spPr>
            <a:ln w="28575" cap="rnd">
              <a:solidFill>
                <a:schemeClr val="accent5"/>
              </a:solidFill>
              <a:round/>
            </a:ln>
            <a:effectLst/>
          </c:spPr>
          <c:marker>
            <c:symbol val="none"/>
          </c:marker>
          <c:cat>
            <c:multiLvlStrRef>
              <c:f>Sheet5!$A$5:$A$18</c:f>
              <c:multiLvlStrCache>
                <c:ptCount val="11"/>
                <c:lvl>
                  <c:pt idx="0">
                    <c:v>Jun</c:v>
                  </c:pt>
                  <c:pt idx="1">
                    <c:v>Jul</c:v>
                  </c:pt>
                  <c:pt idx="2">
                    <c:v>Aug</c:v>
                  </c:pt>
                  <c:pt idx="3">
                    <c:v>Oct</c:v>
                  </c:pt>
                  <c:pt idx="4">
                    <c:v>Nov</c:v>
                  </c:pt>
                  <c:pt idx="5">
                    <c:v>Dec</c:v>
                  </c:pt>
                  <c:pt idx="6">
                    <c:v>Jan</c:v>
                  </c:pt>
                  <c:pt idx="7">
                    <c:v>Feb</c:v>
                  </c:pt>
                  <c:pt idx="8">
                    <c:v>Mar</c:v>
                  </c:pt>
                  <c:pt idx="9">
                    <c:v>Apr</c:v>
                  </c:pt>
                  <c:pt idx="10">
                    <c:v>May</c:v>
                  </c:pt>
                </c:lvl>
                <c:lvl>
                  <c:pt idx="0">
                    <c:v>2024</c:v>
                  </c:pt>
                  <c:pt idx="6">
                    <c:v>2025</c:v>
                  </c:pt>
                </c:lvl>
              </c:multiLvlStrCache>
            </c:multiLvlStrRef>
          </c:cat>
          <c:val>
            <c:numRef>
              <c:f>Sheet5!$F$5:$F$18</c:f>
              <c:numCache>
                <c:formatCode>General</c:formatCode>
                <c:ptCount val="11"/>
                <c:pt idx="1">
                  <c:v>56.68</c:v>
                </c:pt>
                <c:pt idx="4">
                  <c:v>45</c:v>
                </c:pt>
                <c:pt idx="5">
                  <c:v>30</c:v>
                </c:pt>
                <c:pt idx="6">
                  <c:v>31.14</c:v>
                </c:pt>
                <c:pt idx="9">
                  <c:v>11.22</c:v>
                </c:pt>
              </c:numCache>
            </c:numRef>
          </c:val>
          <c:smooth val="0"/>
          <c:extLst>
            <c:ext xmlns:c16="http://schemas.microsoft.com/office/drawing/2014/chart" uri="{C3380CC4-5D6E-409C-BE32-E72D297353CC}">
              <c16:uniqueId val="{0000000E-A272-4484-8E96-E1E9FFE07FF2}"/>
            </c:ext>
          </c:extLst>
        </c:ser>
        <c:ser>
          <c:idx val="5"/>
          <c:order val="5"/>
          <c:tx>
            <c:strRef>
              <c:f>Sheet5!$G$3:$G$4</c:f>
              <c:strCache>
                <c:ptCount val="1"/>
                <c:pt idx="0">
                  <c:v>Mocha</c:v>
                </c:pt>
              </c:strCache>
            </c:strRef>
          </c:tx>
          <c:spPr>
            <a:ln w="28575" cap="rnd">
              <a:solidFill>
                <a:schemeClr val="accent6"/>
              </a:solidFill>
              <a:round/>
            </a:ln>
            <a:effectLst/>
          </c:spPr>
          <c:marker>
            <c:symbol val="none"/>
          </c:marker>
          <c:cat>
            <c:multiLvlStrRef>
              <c:f>Sheet5!$A$5:$A$18</c:f>
              <c:multiLvlStrCache>
                <c:ptCount val="11"/>
                <c:lvl>
                  <c:pt idx="0">
                    <c:v>Jun</c:v>
                  </c:pt>
                  <c:pt idx="1">
                    <c:v>Jul</c:v>
                  </c:pt>
                  <c:pt idx="2">
                    <c:v>Aug</c:v>
                  </c:pt>
                  <c:pt idx="3">
                    <c:v>Oct</c:v>
                  </c:pt>
                  <c:pt idx="4">
                    <c:v>Nov</c:v>
                  </c:pt>
                  <c:pt idx="5">
                    <c:v>Dec</c:v>
                  </c:pt>
                  <c:pt idx="6">
                    <c:v>Jan</c:v>
                  </c:pt>
                  <c:pt idx="7">
                    <c:v>Feb</c:v>
                  </c:pt>
                  <c:pt idx="8">
                    <c:v>Mar</c:v>
                  </c:pt>
                  <c:pt idx="9">
                    <c:v>Apr</c:v>
                  </c:pt>
                  <c:pt idx="10">
                    <c:v>May</c:v>
                  </c:pt>
                </c:lvl>
                <c:lvl>
                  <c:pt idx="0">
                    <c:v>2024</c:v>
                  </c:pt>
                  <c:pt idx="6">
                    <c:v>2025</c:v>
                  </c:pt>
                </c:lvl>
              </c:multiLvlStrCache>
            </c:multiLvlStrRef>
          </c:cat>
          <c:val>
            <c:numRef>
              <c:f>Sheet5!$G$5:$G$18</c:f>
              <c:numCache>
                <c:formatCode>General</c:formatCode>
                <c:ptCount val="11"/>
                <c:pt idx="0">
                  <c:v>57.36</c:v>
                </c:pt>
                <c:pt idx="1">
                  <c:v>9.6</c:v>
                </c:pt>
                <c:pt idx="3">
                  <c:v>47.400000000000006</c:v>
                </c:pt>
                <c:pt idx="4">
                  <c:v>13.25</c:v>
                </c:pt>
                <c:pt idx="6">
                  <c:v>42.84</c:v>
                </c:pt>
                <c:pt idx="7">
                  <c:v>54.4</c:v>
                </c:pt>
                <c:pt idx="8">
                  <c:v>5.5</c:v>
                </c:pt>
              </c:numCache>
            </c:numRef>
          </c:val>
          <c:smooth val="0"/>
          <c:extLst>
            <c:ext xmlns:c16="http://schemas.microsoft.com/office/drawing/2014/chart" uri="{C3380CC4-5D6E-409C-BE32-E72D297353CC}">
              <c16:uniqueId val="{0000000F-A272-4484-8E96-E1E9FFE07FF2}"/>
            </c:ext>
          </c:extLst>
        </c:ser>
        <c:dLbls>
          <c:showLegendKey val="0"/>
          <c:showVal val="0"/>
          <c:showCatName val="0"/>
          <c:showSerName val="0"/>
          <c:showPercent val="0"/>
          <c:showBubbleSize val="0"/>
        </c:dLbls>
        <c:smooth val="0"/>
        <c:axId val="1126099791"/>
        <c:axId val="1126103535"/>
      </c:lineChart>
      <c:catAx>
        <c:axId val="1126099791"/>
        <c:scaling>
          <c:orientation val="minMax"/>
        </c:scaling>
        <c:delete val="0"/>
        <c:axPos val="b"/>
        <c:numFmt formatCode="General" sourceLinked="1"/>
        <c:majorTickMark val="none"/>
        <c:minorTickMark val="none"/>
        <c:tickLblPos val="nextTo"/>
        <c:spPr>
          <a:solidFill>
            <a:sysClr val="window" lastClr="FFFFFF"/>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103535"/>
        <c:crosses val="autoZero"/>
        <c:auto val="1"/>
        <c:lblAlgn val="ctr"/>
        <c:lblOffset val="100"/>
        <c:noMultiLvlLbl val="0"/>
      </c:catAx>
      <c:valAx>
        <c:axId val="1126103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ysClr val="window" lastClr="FFFFFF"/>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099791"/>
        <c:crosses val="autoZero"/>
        <c:crossBetween val="between"/>
      </c:valAx>
      <c:spPr>
        <a:noFill/>
        <a:ln>
          <a:noFill/>
        </a:ln>
        <a:effectLst/>
      </c:spPr>
    </c:plotArea>
    <c:legend>
      <c:legendPos val="r"/>
      <c:overlay val="0"/>
      <c:spPr>
        <a:solidFill>
          <a:sysClr val="window" lastClr="FFFFFF"/>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rgbClr val="00206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over country</a:t>
            </a:r>
            <a:endParaRPr lang="en-US"/>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Sheet1!$A$4:$A$20</c:f>
              <c:strCache>
                <c:ptCount val="16"/>
                <c:pt idx="0">
                  <c:v>Anguilla</c:v>
                </c:pt>
                <c:pt idx="1">
                  <c:v>Bhutan</c:v>
                </c:pt>
                <c:pt idx="2">
                  <c:v>Cayman Islands</c:v>
                </c:pt>
                <c:pt idx="3">
                  <c:v>Congo</c:v>
                </c:pt>
                <c:pt idx="4">
                  <c:v>Cook Islands</c:v>
                </c:pt>
                <c:pt idx="5">
                  <c:v>Greenland</c:v>
                </c:pt>
                <c:pt idx="6">
                  <c:v>Moldova</c:v>
                </c:pt>
                <c:pt idx="7">
                  <c:v>Montenegro</c:v>
                </c:pt>
                <c:pt idx="8">
                  <c:v>Montserrat</c:v>
                </c:pt>
                <c:pt idx="9">
                  <c:v>Namibia</c:v>
                </c:pt>
                <c:pt idx="10">
                  <c:v>Northern Mariana Islands</c:v>
                </c:pt>
                <c:pt idx="11">
                  <c:v>Slovenia</c:v>
                </c:pt>
                <c:pt idx="12">
                  <c:v>Turks and Caicos Islands</c:v>
                </c:pt>
                <c:pt idx="13">
                  <c:v>Tuvalu</c:v>
                </c:pt>
                <c:pt idx="14">
                  <c:v>Uruguay</c:v>
                </c:pt>
                <c:pt idx="15">
                  <c:v>Zambia</c:v>
                </c:pt>
              </c:strCache>
            </c:strRef>
          </c:cat>
          <c:val>
            <c:numRef>
              <c:f>Sheet1!$B$4:$B$20</c:f>
              <c:numCache>
                <c:formatCode>General</c:formatCode>
                <c:ptCount val="16"/>
                <c:pt idx="0">
                  <c:v>44.12</c:v>
                </c:pt>
                <c:pt idx="1">
                  <c:v>42</c:v>
                </c:pt>
                <c:pt idx="2">
                  <c:v>9.6</c:v>
                </c:pt>
                <c:pt idx="3">
                  <c:v>37.9</c:v>
                </c:pt>
                <c:pt idx="4">
                  <c:v>98.36</c:v>
                </c:pt>
                <c:pt idx="5">
                  <c:v>39.24</c:v>
                </c:pt>
                <c:pt idx="6">
                  <c:v>33.840000000000003</c:v>
                </c:pt>
                <c:pt idx="7">
                  <c:v>157.63999999999999</c:v>
                </c:pt>
                <c:pt idx="8">
                  <c:v>38.4</c:v>
                </c:pt>
                <c:pt idx="9">
                  <c:v>20.73</c:v>
                </c:pt>
                <c:pt idx="10">
                  <c:v>150.4</c:v>
                </c:pt>
                <c:pt idx="11">
                  <c:v>57.47</c:v>
                </c:pt>
                <c:pt idx="12">
                  <c:v>42.660000000000004</c:v>
                </c:pt>
                <c:pt idx="13">
                  <c:v>28.92</c:v>
                </c:pt>
                <c:pt idx="14">
                  <c:v>64.72</c:v>
                </c:pt>
                <c:pt idx="15">
                  <c:v>48.120000000000005</c:v>
                </c:pt>
              </c:numCache>
            </c:numRef>
          </c:val>
          <c:extLst>
            <c:ext xmlns:c16="http://schemas.microsoft.com/office/drawing/2014/chart" uri="{C3380CC4-5D6E-409C-BE32-E72D297353CC}">
              <c16:uniqueId val="{00000000-FFE8-4C84-9352-48284C255E5A}"/>
            </c:ext>
          </c:extLst>
        </c:ser>
        <c:dLbls>
          <c:showLegendKey val="0"/>
          <c:showVal val="0"/>
          <c:showCatName val="0"/>
          <c:showSerName val="0"/>
          <c:showPercent val="0"/>
          <c:showBubbleSize val="0"/>
        </c:dLbls>
        <c:gapWidth val="182"/>
        <c:axId val="1137217199"/>
        <c:axId val="1137221775"/>
      </c:barChart>
      <c:catAx>
        <c:axId val="1137217199"/>
        <c:scaling>
          <c:orientation val="minMax"/>
        </c:scaling>
        <c:delete val="0"/>
        <c:axPos val="l"/>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221775"/>
        <c:crosses val="autoZero"/>
        <c:auto val="1"/>
        <c:lblAlgn val="ctr"/>
        <c:lblOffset val="100"/>
        <c:noMultiLvlLbl val="0"/>
      </c:catAx>
      <c:valAx>
        <c:axId val="11372217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217199"/>
        <c:crosses val="autoZero"/>
        <c:crossBetween val="between"/>
      </c:valAx>
      <c:spPr>
        <a:noFill/>
        <a:ln>
          <a:noFill/>
        </a:ln>
        <a:effectLst/>
      </c:spPr>
    </c:plotArea>
    <c:legend>
      <c:legendPos val="r"/>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00206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22860</xdr:colOff>
      <xdr:row>0</xdr:row>
      <xdr:rowOff>30480</xdr:rowOff>
    </xdr:from>
    <xdr:to>
      <xdr:col>21</xdr:col>
      <xdr:colOff>601980</xdr:colOff>
      <xdr:row>3</xdr:row>
      <xdr:rowOff>160020</xdr:rowOff>
    </xdr:to>
    <xdr:sp macro="" textlink="">
      <xdr:nvSpPr>
        <xdr:cNvPr id="2" name="Rectangle 1"/>
        <xdr:cNvSpPr/>
      </xdr:nvSpPr>
      <xdr:spPr>
        <a:xfrm>
          <a:off x="190500" y="30480"/>
          <a:ext cx="12771120" cy="678180"/>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t>COFFEE</a:t>
          </a:r>
          <a:r>
            <a:rPr lang="en-IN" sz="3200" b="1" baseline="0"/>
            <a:t> SALES DASHBOARD</a:t>
          </a:r>
          <a:endParaRPr lang="en-IN" sz="3200" b="1"/>
        </a:p>
      </xdr:txBody>
    </xdr:sp>
    <xdr:clientData/>
  </xdr:twoCellAnchor>
  <xdr:twoCellAnchor>
    <xdr:from>
      <xdr:col>1</xdr:col>
      <xdr:colOff>0</xdr:colOff>
      <xdr:row>11</xdr:row>
      <xdr:rowOff>68580</xdr:rowOff>
    </xdr:from>
    <xdr:to>
      <xdr:col>12</xdr:col>
      <xdr:colOff>160020</xdr:colOff>
      <xdr:row>39</xdr:row>
      <xdr:rowOff>38100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144780</xdr:colOff>
      <xdr:row>4</xdr:row>
      <xdr:rowOff>7620</xdr:rowOff>
    </xdr:from>
    <xdr:to>
      <xdr:col>12</xdr:col>
      <xdr:colOff>586740</xdr:colOff>
      <xdr:row>10</xdr:row>
      <xdr:rowOff>175260</xdr:rowOff>
    </xdr:to>
    <mc:AlternateContent xmlns:mc="http://schemas.openxmlformats.org/markup-compatibility/2006" xmlns:tsle="http://schemas.microsoft.com/office/drawing/2012/timeslicer">
      <mc:Choice Requires="tsle">
        <xdr:graphicFrame macro="">
          <xdr:nvGraphicFramePr>
            <xdr:cNvPr id="10" name="Order date 1"/>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44780" y="739140"/>
              <a:ext cx="7315200" cy="1264920"/>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editAs="oneCell">
    <xdr:from>
      <xdr:col>19</xdr:col>
      <xdr:colOff>0</xdr:colOff>
      <xdr:row>3</xdr:row>
      <xdr:rowOff>175260</xdr:rowOff>
    </xdr:from>
    <xdr:to>
      <xdr:col>22</xdr:col>
      <xdr:colOff>0</xdr:colOff>
      <xdr:row>11</xdr:row>
      <xdr:rowOff>15239</xdr:rowOff>
    </xdr:to>
    <mc:AlternateContent xmlns:mc="http://schemas.openxmlformats.org/markup-compatibility/2006" xmlns:a14="http://schemas.microsoft.com/office/drawing/2010/main">
      <mc:Choice Requires="a14">
        <xdr:graphicFrame macro="">
          <xdr:nvGraphicFramePr>
            <xdr:cNvPr id="11" name="Roast type 2"/>
            <xdr:cNvGraphicFramePr/>
          </xdr:nvGraphicFramePr>
          <xdr:xfrm>
            <a:off x="0" y="0"/>
            <a:ext cx="0" cy="0"/>
          </xdr:xfrm>
          <a:graphic>
            <a:graphicData uri="http://schemas.microsoft.com/office/drawing/2010/slicer">
              <sle:slicer xmlns:sle="http://schemas.microsoft.com/office/drawing/2010/slicer" name="Roast type 2"/>
            </a:graphicData>
          </a:graphic>
        </xdr:graphicFrame>
      </mc:Choice>
      <mc:Fallback xmlns="">
        <xdr:sp macro="" textlink="">
          <xdr:nvSpPr>
            <xdr:cNvPr id="0" name=""/>
            <xdr:cNvSpPr>
              <a:spLocks noTextEdit="1"/>
            </xdr:cNvSpPr>
          </xdr:nvSpPr>
          <xdr:spPr>
            <a:xfrm>
              <a:off x="11140440" y="723900"/>
              <a:ext cx="1828800" cy="1303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7620</xdr:colOff>
      <xdr:row>3</xdr:row>
      <xdr:rowOff>137161</xdr:rowOff>
    </xdr:from>
    <xdr:to>
      <xdr:col>19</xdr:col>
      <xdr:colOff>7620</xdr:colOff>
      <xdr:row>10</xdr:row>
      <xdr:rowOff>167640</xdr:rowOff>
    </xdr:to>
    <mc:AlternateContent xmlns:mc="http://schemas.openxmlformats.org/markup-compatibility/2006" xmlns:a14="http://schemas.microsoft.com/office/drawing/2010/main">
      <mc:Choice Requires="a14">
        <xdr:graphicFrame macro="">
          <xdr:nvGraphicFramePr>
            <xdr:cNvPr id="12" name="Size 2"/>
            <xdr:cNvGraphicFramePr/>
          </xdr:nvGraphicFramePr>
          <xdr:xfrm>
            <a:off x="0" y="0"/>
            <a:ext cx="0" cy="0"/>
          </xdr:xfrm>
          <a:graphic>
            <a:graphicData uri="http://schemas.microsoft.com/office/drawing/2010/slicer">
              <sle:slicer xmlns:sle="http://schemas.microsoft.com/office/drawing/2010/slicer" name="Size 2"/>
            </a:graphicData>
          </a:graphic>
        </xdr:graphicFrame>
      </mc:Choice>
      <mc:Fallback xmlns="">
        <xdr:sp macro="" textlink="">
          <xdr:nvSpPr>
            <xdr:cNvPr id="0" name=""/>
            <xdr:cNvSpPr>
              <a:spLocks noTextEdit="1"/>
            </xdr:cNvSpPr>
          </xdr:nvSpPr>
          <xdr:spPr>
            <a:xfrm>
              <a:off x="9319260" y="685801"/>
              <a:ext cx="1828800" cy="1310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601980</xdr:colOff>
      <xdr:row>3</xdr:row>
      <xdr:rowOff>167641</xdr:rowOff>
    </xdr:from>
    <xdr:to>
      <xdr:col>16</xdr:col>
      <xdr:colOff>0</xdr:colOff>
      <xdr:row>11</xdr:row>
      <xdr:rowOff>7620</xdr:rowOff>
    </xdr:to>
    <mc:AlternateContent xmlns:mc="http://schemas.openxmlformats.org/markup-compatibility/2006" xmlns:a14="http://schemas.microsoft.com/office/drawing/2010/main">
      <mc:Choice Requires="a14">
        <xdr:graphicFrame macro="">
          <xdr:nvGraphicFramePr>
            <xdr:cNvPr id="13" name="Loyalty cards 2"/>
            <xdr:cNvGraphicFramePr/>
          </xdr:nvGraphicFramePr>
          <xdr:xfrm>
            <a:off x="0" y="0"/>
            <a:ext cx="0" cy="0"/>
          </xdr:xfrm>
          <a:graphic>
            <a:graphicData uri="http://schemas.microsoft.com/office/drawing/2010/slicer">
              <sle:slicer xmlns:sle="http://schemas.microsoft.com/office/drawing/2010/slicer" name="Loyalty cards 2"/>
            </a:graphicData>
          </a:graphic>
        </xdr:graphicFrame>
      </mc:Choice>
      <mc:Fallback xmlns="">
        <xdr:sp macro="" textlink="">
          <xdr:nvSpPr>
            <xdr:cNvPr id="0" name=""/>
            <xdr:cNvSpPr>
              <a:spLocks noTextEdit="1"/>
            </xdr:cNvSpPr>
          </xdr:nvSpPr>
          <xdr:spPr>
            <a:xfrm>
              <a:off x="7475220" y="716281"/>
              <a:ext cx="1836420" cy="1303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160020</xdr:colOff>
      <xdr:row>24</xdr:row>
      <xdr:rowOff>106680</xdr:rowOff>
    </xdr:from>
    <xdr:to>
      <xdr:col>21</xdr:col>
      <xdr:colOff>571500</xdr:colOff>
      <xdr:row>39</xdr:row>
      <xdr:rowOff>30480</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129540</xdr:colOff>
      <xdr:row>11</xdr:row>
      <xdr:rowOff>15240</xdr:rowOff>
    </xdr:from>
    <xdr:to>
      <xdr:col>21</xdr:col>
      <xdr:colOff>594360</xdr:colOff>
      <xdr:row>24</xdr:row>
      <xdr:rowOff>114300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9</xdr:row>
      <xdr:rowOff>0</xdr:rowOff>
    </xdr:from>
    <xdr:to>
      <xdr:col>9</xdr:col>
      <xdr:colOff>289560</xdr:colOff>
      <xdr:row>16</xdr:row>
      <xdr:rowOff>91440</xdr:rowOff>
    </xdr:to>
    <mc:AlternateContent xmlns:mc="http://schemas.openxmlformats.org/markup-compatibility/2006" xmlns:tsle="http://schemas.microsoft.com/office/drawing/2012/timeslicer">
      <mc:Choice Requires="tsle">
        <xdr:graphicFrame macro="">
          <xdr:nvGraphicFramePr>
            <xdr:cNvPr id="2" name="Order date 2"/>
            <xdr:cNvGraphicFramePr/>
          </xdr:nvGraphicFramePr>
          <xdr:xfrm>
            <a:off x="0" y="0"/>
            <a:ext cx="0" cy="0"/>
          </xdr:xfrm>
          <a:graphic>
            <a:graphicData uri="http://schemas.microsoft.com/office/drawing/2012/timeslicer">
              <tsle:timeslicer name="Order date 2"/>
            </a:graphicData>
          </a:graphic>
        </xdr:graphicFrame>
      </mc:Choice>
      <mc:Fallback xmlns="">
        <xdr:sp macro="" textlink="">
          <xdr:nvSpPr>
            <xdr:cNvPr id="0" name=""/>
            <xdr:cNvSpPr>
              <a:spLocks noTextEdit="1"/>
            </xdr:cNvSpPr>
          </xdr:nvSpPr>
          <xdr:spPr>
            <a:xfrm>
              <a:off x="2438400" y="164592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editAs="oneCell">
    <xdr:from>
      <xdr:col>11</xdr:col>
      <xdr:colOff>0</xdr:colOff>
      <xdr:row>20</xdr:row>
      <xdr:rowOff>0</xdr:rowOff>
    </xdr:from>
    <xdr:to>
      <xdr:col>14</xdr:col>
      <xdr:colOff>0</xdr:colOff>
      <xdr:row>26</xdr:row>
      <xdr:rowOff>129540</xdr:rowOff>
    </xdr:to>
    <mc:AlternateContent xmlns:mc="http://schemas.openxmlformats.org/markup-compatibility/2006" xmlns:a14="http://schemas.microsoft.com/office/drawing/2010/main">
      <mc:Choice Requires="a14">
        <xdr:graphicFrame macro="">
          <xdr:nvGraphicFramePr>
            <xdr:cNvPr id="3" name="Roast type 1"/>
            <xdr:cNvGraphicFramePr/>
          </xdr:nvGraphicFramePr>
          <xdr:xfrm>
            <a:off x="0" y="0"/>
            <a:ext cx="0" cy="0"/>
          </xdr:xfrm>
          <a:graphic>
            <a:graphicData uri="http://schemas.microsoft.com/office/drawing/2010/slicer">
              <sle:slicer xmlns:sle="http://schemas.microsoft.com/office/drawing/2010/slicer" name="Roast type 1"/>
            </a:graphicData>
          </a:graphic>
        </xdr:graphicFrame>
      </mc:Choice>
      <mc:Fallback xmlns="">
        <xdr:sp macro="" textlink="">
          <xdr:nvSpPr>
            <xdr:cNvPr id="0" name=""/>
            <xdr:cNvSpPr>
              <a:spLocks noTextEdit="1"/>
            </xdr:cNvSpPr>
          </xdr:nvSpPr>
          <xdr:spPr>
            <a:xfrm>
              <a:off x="6705600" y="3657600"/>
              <a:ext cx="1828800" cy="1226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22</xdr:row>
      <xdr:rowOff>0</xdr:rowOff>
    </xdr:from>
    <xdr:to>
      <xdr:col>9</xdr:col>
      <xdr:colOff>0</xdr:colOff>
      <xdr:row>28</xdr:row>
      <xdr:rowOff>160019</xdr:rowOff>
    </xdr:to>
    <mc:AlternateContent xmlns:mc="http://schemas.openxmlformats.org/markup-compatibility/2006" xmlns:a14="http://schemas.microsoft.com/office/drawing/2010/main">
      <mc:Choice Requires="a14">
        <xdr:graphicFrame macro="">
          <xdr:nvGraphicFramePr>
            <xdr:cNvPr id="4" name="Size 1"/>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3657600" y="4023360"/>
              <a:ext cx="1828800" cy="1257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16</xdr:row>
      <xdr:rowOff>0</xdr:rowOff>
    </xdr:from>
    <xdr:to>
      <xdr:col>4</xdr:col>
      <xdr:colOff>0</xdr:colOff>
      <xdr:row>21</xdr:row>
      <xdr:rowOff>7620</xdr:rowOff>
    </xdr:to>
    <mc:AlternateContent xmlns:mc="http://schemas.openxmlformats.org/markup-compatibility/2006" xmlns:a14="http://schemas.microsoft.com/office/drawing/2010/main">
      <mc:Choice Requires="a14">
        <xdr:graphicFrame macro="">
          <xdr:nvGraphicFramePr>
            <xdr:cNvPr id="5" name="Loyalty cards 1"/>
            <xdr:cNvGraphicFramePr/>
          </xdr:nvGraphicFramePr>
          <xdr:xfrm>
            <a:off x="0" y="0"/>
            <a:ext cx="0" cy="0"/>
          </xdr:xfrm>
          <a:graphic>
            <a:graphicData uri="http://schemas.microsoft.com/office/drawing/2010/slicer">
              <sle:slicer xmlns:sle="http://schemas.microsoft.com/office/drawing/2010/slicer" name="Loyalty cards 1"/>
            </a:graphicData>
          </a:graphic>
        </xdr:graphicFrame>
      </mc:Choice>
      <mc:Fallback xmlns="">
        <xdr:sp macro="" textlink="">
          <xdr:nvSpPr>
            <xdr:cNvPr id="0" name=""/>
            <xdr:cNvSpPr>
              <a:spLocks noTextEdit="1"/>
            </xdr:cNvSpPr>
          </xdr:nvSpPr>
          <xdr:spPr>
            <a:xfrm>
              <a:off x="609600" y="2926080"/>
              <a:ext cx="1828800" cy="922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434340</xdr:colOff>
      <xdr:row>1</xdr:row>
      <xdr:rowOff>91440</xdr:rowOff>
    </xdr:from>
    <xdr:to>
      <xdr:col>19</xdr:col>
      <xdr:colOff>411480</xdr:colOff>
      <xdr:row>19</xdr:row>
      <xdr:rowOff>19050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327660</xdr:colOff>
      <xdr:row>0</xdr:row>
      <xdr:rowOff>0</xdr:rowOff>
    </xdr:from>
    <xdr:to>
      <xdr:col>9</xdr:col>
      <xdr:colOff>22860</xdr:colOff>
      <xdr:row>19</xdr:row>
      <xdr:rowOff>179070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24</xdr:row>
      <xdr:rowOff>0</xdr:rowOff>
    </xdr:from>
    <xdr:to>
      <xdr:col>22</xdr:col>
      <xdr:colOff>304800</xdr:colOff>
      <xdr:row>39</xdr:row>
      <xdr:rowOff>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76200</xdr:colOff>
      <xdr:row>7</xdr:row>
      <xdr:rowOff>156210</xdr:rowOff>
    </xdr:from>
    <xdr:to>
      <xdr:col>10</xdr:col>
      <xdr:colOff>518160</xdr:colOff>
      <xdr:row>22</xdr:row>
      <xdr:rowOff>156210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129540</xdr:colOff>
      <xdr:row>11</xdr:row>
      <xdr:rowOff>106680</xdr:rowOff>
    </xdr:from>
    <xdr:to>
      <xdr:col>9</xdr:col>
      <xdr:colOff>510540</xdr:colOff>
      <xdr:row>19</xdr:row>
      <xdr:rowOff>15240</xdr:rowOff>
    </xdr:to>
    <mc:AlternateContent xmlns:mc="http://schemas.openxmlformats.org/markup-compatibility/2006" xmlns:tsle="http://schemas.microsoft.com/office/drawing/2012/timeslicer">
      <mc:Choice Requires="tsle">
        <xdr:graphicFrame macro="">
          <xdr:nvGraphicFramePr>
            <xdr:cNvPr id="3" name="Order date"/>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3368040" y="211836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editAs="oneCell">
    <xdr:from>
      <xdr:col>4</xdr:col>
      <xdr:colOff>403860</xdr:colOff>
      <xdr:row>5</xdr:row>
      <xdr:rowOff>91440</xdr:rowOff>
    </xdr:from>
    <xdr:to>
      <xdr:col>7</xdr:col>
      <xdr:colOff>624840</xdr:colOff>
      <xdr:row>18</xdr:row>
      <xdr:rowOff>180975</xdr:rowOff>
    </xdr:to>
    <mc:AlternateContent xmlns:mc="http://schemas.openxmlformats.org/markup-compatibility/2006" xmlns:a14="http://schemas.microsoft.com/office/drawing/2010/main">
      <mc:Choice Requires="a14">
        <xdr:graphicFrame macro="">
          <xdr:nvGraphicFramePr>
            <xdr:cNvPr id="4" name="Roast type"/>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mlns="">
        <xdr:sp macro="" textlink="">
          <xdr:nvSpPr>
            <xdr:cNvPr id="0" name=""/>
            <xdr:cNvSpPr>
              <a:spLocks noTextEdit="1"/>
            </xdr:cNvSpPr>
          </xdr:nvSpPr>
          <xdr:spPr>
            <a:xfrm>
              <a:off x="3642360" y="1005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236220</xdr:colOff>
      <xdr:row>8</xdr:row>
      <xdr:rowOff>22860</xdr:rowOff>
    </xdr:from>
    <xdr:to>
      <xdr:col>8</xdr:col>
      <xdr:colOff>365760</xdr:colOff>
      <xdr:row>21</xdr:row>
      <xdr:rowOff>112395</xdr:rowOff>
    </xdr:to>
    <mc:AlternateContent xmlns:mc="http://schemas.openxmlformats.org/markup-compatibility/2006" xmlns:a14="http://schemas.microsoft.com/office/drawing/2010/main">
      <mc:Choice Requires="a14">
        <xdr:graphicFrame macro="">
          <xdr:nvGraphicFramePr>
            <xdr:cNvPr id="5" name="Size"/>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4122420" y="14859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236220</xdr:colOff>
      <xdr:row>10</xdr:row>
      <xdr:rowOff>137160</xdr:rowOff>
    </xdr:from>
    <xdr:to>
      <xdr:col>9</xdr:col>
      <xdr:colOff>236220</xdr:colOff>
      <xdr:row>24</xdr:row>
      <xdr:rowOff>43815</xdr:rowOff>
    </xdr:to>
    <mc:AlternateContent xmlns:mc="http://schemas.openxmlformats.org/markup-compatibility/2006" xmlns:a14="http://schemas.microsoft.com/office/drawing/2010/main">
      <mc:Choice Requires="a14">
        <xdr:graphicFrame macro="">
          <xdr:nvGraphicFramePr>
            <xdr:cNvPr id="6" name="Loyalty cards"/>
            <xdr:cNvGraphicFramePr/>
          </xdr:nvGraphicFramePr>
          <xdr:xfrm>
            <a:off x="0" y="0"/>
            <a:ext cx="0" cy="0"/>
          </xdr:xfrm>
          <a:graphic>
            <a:graphicData uri="http://schemas.microsoft.com/office/drawing/2010/slicer">
              <sle:slicer xmlns:sle="http://schemas.microsoft.com/office/drawing/2010/slicer" name="Loyalty cards"/>
            </a:graphicData>
          </a:graphic>
        </xdr:graphicFrame>
      </mc:Choice>
      <mc:Fallback xmlns="">
        <xdr:sp macro="" textlink="">
          <xdr:nvSpPr>
            <xdr:cNvPr id="0" name=""/>
            <xdr:cNvSpPr>
              <a:spLocks noTextEdit="1"/>
            </xdr:cNvSpPr>
          </xdr:nvSpPr>
          <xdr:spPr>
            <a:xfrm>
              <a:off x="4602480" y="1965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411480</xdr:colOff>
      <xdr:row>7</xdr:row>
      <xdr:rowOff>11430</xdr:rowOff>
    </xdr:from>
    <xdr:to>
      <xdr:col>10</xdr:col>
      <xdr:colOff>106680</xdr:colOff>
      <xdr:row>22</xdr:row>
      <xdr:rowOff>11430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5789.601629282406" createdVersion="6" refreshedVersion="6" minRefreshableVersion="3" recordCount="40">
  <cacheSource type="worksheet">
    <worksheetSource name="Table2"/>
  </cacheSource>
  <cacheFields count="15">
    <cacheField name="Order ID" numFmtId="0">
      <sharedItems/>
    </cacheField>
    <cacheField name="Order date" numFmtId="164">
      <sharedItems containsSemiMixedTypes="0" containsNonDate="0" containsDate="1" containsString="0" minDate="2024-06-09T00:00:00" maxDate="2025-05-02T00:00:00" count="38">
        <d v="2025-04-17T00:00:00"/>
        <d v="2024-07-05T00:00:00"/>
        <d v="2024-07-29T00:00:00"/>
        <d v="2025-02-06T00:00:00"/>
        <d v="2025-04-13T00:00:00"/>
        <d v="2024-07-19T00:00:00"/>
        <d v="2024-07-15T00:00:00"/>
        <d v="2024-07-31T00:00:00"/>
        <d v="2025-01-06T00:00:00"/>
        <d v="2024-10-07T00:00:00"/>
        <d v="2024-08-13T00:00:00"/>
        <d v="2024-08-14T00:00:00"/>
        <d v="2024-10-12T00:00:00"/>
        <d v="2024-12-16T00:00:00"/>
        <d v="2025-02-03T00:00:00"/>
        <d v="2024-07-12T00:00:00"/>
        <d v="2025-02-04T00:00:00"/>
        <d v="2024-08-29T00:00:00"/>
        <d v="2024-07-26T00:00:00"/>
        <d v="2025-01-30T00:00:00"/>
        <d v="2024-07-30T00:00:00"/>
        <d v="2024-06-09T00:00:00"/>
        <d v="2024-11-20T00:00:00"/>
        <d v="2024-06-20T00:00:00"/>
        <d v="2025-01-11T00:00:00"/>
        <d v="2025-02-21T00:00:00"/>
        <d v="2024-08-08T00:00:00"/>
        <d v="2024-08-30T00:00:00"/>
        <d v="2025-04-11T00:00:00"/>
        <d v="2025-02-25T00:00:00"/>
        <d v="2025-01-05T00:00:00"/>
        <d v="2025-05-01T00:00:00"/>
        <d v="2025-02-01T00:00:00"/>
        <d v="2025-03-12T00:00:00"/>
        <d v="2024-11-03T00:00:00"/>
        <d v="2025-03-11T00:00:00"/>
        <d v="2025-01-22T00:00:00"/>
        <d v="2024-06-21T00:00:00"/>
      </sharedItems>
      <fieldGroup par="14" base="1">
        <rangePr groupBy="months" startDate="2024-06-09T00:00:00" endDate="2025-05-02T00:00:00"/>
        <groupItems count="14">
          <s v="&lt;09-06-2024"/>
          <s v="Jan"/>
          <s v="Feb"/>
          <s v="Mar"/>
          <s v="Apr"/>
          <s v="May"/>
          <s v="Jun"/>
          <s v="Jul"/>
          <s v="Aug"/>
          <s v="Sep"/>
          <s v="Oct"/>
          <s v="Nov"/>
          <s v="Dec"/>
          <s v="&gt;02-05-2025"/>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10"/>
    </cacheField>
    <cacheField name=" customer name" numFmtId="0">
      <sharedItems count="17">
        <s v="Robin Johnson"/>
        <s v="Joshua Oneal"/>
        <s v="Amanda Rhodes"/>
        <s v="Jeffrey Moore"/>
        <s v="Dustin Levy"/>
        <s v="Teresa Collins"/>
        <s v="Jane Taylor"/>
        <s v="Angie Tucker"/>
        <s v="Natalie Cox"/>
        <s v="Megan Rice"/>
        <s v="Timothy Anderson"/>
        <s v="Carolyn Howard"/>
        <s v="Jennifer Rodriguez"/>
        <s v="Billy Chan"/>
        <s v="Sarah Johnson"/>
        <s v="Ashley Guerrero"/>
        <s v="Jessica Young"/>
      </sharedItems>
    </cacheField>
    <cacheField name="Email" numFmtId="0">
      <sharedItems/>
    </cacheField>
    <cacheField name="Country" numFmtId="0">
      <sharedItems count="16">
        <s v="Greenland"/>
        <s v="Cook Islands"/>
        <s v="Cayman Islands"/>
        <s v="Slovenia"/>
        <s v="Bhutan"/>
        <s v="Anguilla"/>
        <s v="Tuvalu"/>
        <s v="Namibia"/>
        <s v="Northern Mariana Islands"/>
        <s v="Moldova"/>
        <s v="Montenegro"/>
        <s v="Montserrat"/>
        <s v="Uruguay"/>
        <s v="Zambia"/>
        <s v="Turks and Caicos Islands"/>
        <s v="Congo"/>
      </sharedItems>
    </cacheField>
    <cacheField name="Coffee type" numFmtId="0">
      <sharedItems count="6">
        <s v="Latte"/>
        <s v="Mocha"/>
        <s v="Espresso"/>
        <s v="Flat White"/>
        <s v="Americano"/>
        <s v="Cappuccino"/>
      </sharedItems>
    </cacheField>
    <cacheField name="Roast type" numFmtId="0">
      <sharedItems count="3">
        <s v="Dark"/>
        <s v="Light"/>
        <s v="Medium"/>
      </sharedItems>
    </cacheField>
    <cacheField name="Size" numFmtId="0">
      <sharedItems count="3">
        <s v="Medium"/>
        <s v="Large"/>
        <s v="Small"/>
      </sharedItems>
    </cacheField>
    <cacheField name="Unit price" numFmtId="0">
      <sharedItems containsSemiMixedTypes="0" containsString="0" containsNumber="1" minValue="2.65" maxValue="5.5"/>
    </cacheField>
    <cacheField name="Sales" numFmtId="0">
      <sharedItems containsSemiMixedTypes="0" containsString="0" containsNumber="1" minValue="3.13" maxValue="48.2"/>
    </cacheField>
    <cacheField name="Loyalty cards" numFmtId="0">
      <sharedItems count="2">
        <s v="Yes"/>
        <s v="No"/>
      </sharedItems>
    </cacheField>
    <cacheField name="Years" numFmtId="0" databaseField="0">
      <fieldGroup base="1">
        <rangePr groupBy="years" startDate="2024-06-09T00:00:00" endDate="2025-05-02T00:00:00"/>
        <groupItems count="4">
          <s v="&lt;09-06-2024"/>
          <s v="2024"/>
          <s v="2025"/>
          <s v="&gt;02-05-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0">
  <r>
    <s v="ORD0001"/>
    <x v="0"/>
    <s v="CUST010"/>
    <s v="PROD004"/>
    <n v="3"/>
    <x v="0"/>
    <s v="rvillanueva@hotmail.com"/>
    <x v="0"/>
    <x v="0"/>
    <x v="0"/>
    <x v="0"/>
    <n v="3.74"/>
    <n v="11.22"/>
    <x v="0"/>
  </r>
  <r>
    <s v="ORD0002"/>
    <x v="1"/>
    <s v="CUST005"/>
    <s v="PROD003"/>
    <n v="4"/>
    <x v="1"/>
    <s v="hestercharles@jackson-hicks.com"/>
    <x v="1"/>
    <x v="0"/>
    <x v="0"/>
    <x v="1"/>
    <n v="5"/>
    <n v="20"/>
    <x v="0"/>
  </r>
  <r>
    <s v="ORD0003"/>
    <x v="2"/>
    <s v="CUST002"/>
    <s v="PROD002"/>
    <n v="2"/>
    <x v="2"/>
    <s v="joycemariah@forbes-velasquez.com"/>
    <x v="2"/>
    <x v="1"/>
    <x v="1"/>
    <x v="1"/>
    <n v="4.8"/>
    <n v="9.6"/>
    <x v="0"/>
  </r>
  <r>
    <s v="ORD0004"/>
    <x v="3"/>
    <s v="CUST018"/>
    <s v="PROD014"/>
    <n v="1"/>
    <x v="3"/>
    <s v="jessica31@sanchez-young.com"/>
    <x v="3"/>
    <x v="2"/>
    <x v="1"/>
    <x v="2"/>
    <n v="3.13"/>
    <n v="3.13"/>
    <x v="1"/>
  </r>
  <r>
    <s v="ORD0005"/>
    <x v="4"/>
    <s v="CUST007"/>
    <s v="PROD009"/>
    <n v="9"/>
    <x v="4"/>
    <s v="plamb@thomas.com"/>
    <x v="4"/>
    <x v="3"/>
    <x v="0"/>
    <x v="2"/>
    <n v="3.11"/>
    <n v="27.99"/>
    <x v="0"/>
  </r>
  <r>
    <s v="ORD0006"/>
    <x v="5"/>
    <s v="CUST015"/>
    <s v="PROD007"/>
    <n v="8"/>
    <x v="5"/>
    <s v="carsonkenneth@hotmail.com"/>
    <x v="5"/>
    <x v="2"/>
    <x v="1"/>
    <x v="1"/>
    <n v="4.67"/>
    <n v="37.36"/>
    <x v="0"/>
  </r>
  <r>
    <s v="ORD0007"/>
    <x v="6"/>
    <s v="CUST007"/>
    <s v="PROD007"/>
    <n v="3"/>
    <x v="4"/>
    <s v="plamb@thomas.com"/>
    <x v="4"/>
    <x v="2"/>
    <x v="1"/>
    <x v="1"/>
    <n v="4.67"/>
    <n v="14.01"/>
    <x v="0"/>
  </r>
  <r>
    <s v="ORD0008"/>
    <x v="7"/>
    <s v="CUST006"/>
    <s v="PROD012"/>
    <n v="6"/>
    <x v="6"/>
    <s v="egould@navarro.biz"/>
    <x v="6"/>
    <x v="4"/>
    <x v="2"/>
    <x v="1"/>
    <n v="4.82"/>
    <n v="28.92"/>
    <x v="1"/>
  </r>
  <r>
    <s v="ORD0009"/>
    <x v="8"/>
    <s v="CUST019"/>
    <s v="PROD004"/>
    <n v="2"/>
    <x v="7"/>
    <s v="tholland@turner.info"/>
    <x v="7"/>
    <x v="0"/>
    <x v="0"/>
    <x v="0"/>
    <n v="3.74"/>
    <n v="7.48"/>
    <x v="0"/>
  </r>
  <r>
    <s v="ORD0010"/>
    <x v="9"/>
    <s v="CUST020"/>
    <s v="PROD016"/>
    <n v="10"/>
    <x v="8"/>
    <s v="cervantesgabriela@morgan.net"/>
    <x v="8"/>
    <x v="1"/>
    <x v="2"/>
    <x v="1"/>
    <n v="4.74"/>
    <n v="47.400000000000006"/>
    <x v="1"/>
  </r>
  <r>
    <s v="ORD0011"/>
    <x v="10"/>
    <s v="CUST018"/>
    <s v="PROD010"/>
    <n v="4"/>
    <x v="3"/>
    <s v="jessica31@sanchez-young.com"/>
    <x v="3"/>
    <x v="3"/>
    <x v="0"/>
    <x v="1"/>
    <n v="5.29"/>
    <n v="21.16"/>
    <x v="1"/>
  </r>
  <r>
    <s v="ORD0012"/>
    <x v="11"/>
    <s v="CUST005"/>
    <s v="PROD014"/>
    <n v="3"/>
    <x v="5"/>
    <s v="hestercharles@jackson-hicks.com"/>
    <x v="1"/>
    <x v="2"/>
    <x v="1"/>
    <x v="2"/>
    <n v="3.13"/>
    <n v="9.39"/>
    <x v="0"/>
  </r>
  <r>
    <s v="ORD0013"/>
    <x v="12"/>
    <s v="CUST016"/>
    <s v="PROD006"/>
    <n v="1"/>
    <x v="9"/>
    <s v="bakerjuan@hotmail.com"/>
    <x v="9"/>
    <x v="4"/>
    <x v="1"/>
    <x v="1"/>
    <n v="5.4"/>
    <n v="5.4"/>
    <x v="0"/>
  </r>
  <r>
    <s v="ORD0014"/>
    <x v="13"/>
    <s v="CUST005"/>
    <s v="PROD003"/>
    <n v="6"/>
    <x v="1"/>
    <s v="hestercharles@jackson-hicks.com"/>
    <x v="1"/>
    <x v="0"/>
    <x v="0"/>
    <x v="1"/>
    <n v="5"/>
    <n v="30"/>
    <x v="0"/>
  </r>
  <r>
    <s v="ORD0015"/>
    <x v="14"/>
    <s v="CUST014"/>
    <s v="PROD018"/>
    <n v="6"/>
    <x v="10"/>
    <s v="ucunningham@webb.com"/>
    <x v="10"/>
    <x v="1"/>
    <x v="0"/>
    <x v="2"/>
    <n v="2.65"/>
    <n v="15.899999999999999"/>
    <x v="1"/>
  </r>
  <r>
    <s v="ORD0016"/>
    <x v="15"/>
    <s v="CUST020"/>
    <s v="PROD004"/>
    <n v="8"/>
    <x v="8"/>
    <s v="cervantesgabriela@morgan.net"/>
    <x v="8"/>
    <x v="0"/>
    <x v="0"/>
    <x v="0"/>
    <n v="3.74"/>
    <n v="29.92"/>
    <x v="1"/>
  </r>
  <r>
    <s v="ORD0017"/>
    <x v="16"/>
    <s v="CUST014"/>
    <s v="PROD011"/>
    <n v="8"/>
    <x v="10"/>
    <s v="ucunningham@webb.com"/>
    <x v="10"/>
    <x v="5"/>
    <x v="2"/>
    <x v="0"/>
    <n v="4.42"/>
    <n v="35.36"/>
    <x v="1"/>
  </r>
  <r>
    <s v="ORD0018"/>
    <x v="17"/>
    <s v="CUST018"/>
    <s v="PROD014"/>
    <n v="6"/>
    <x v="3"/>
    <s v="jessica31@sanchez-young.com"/>
    <x v="3"/>
    <x v="2"/>
    <x v="1"/>
    <x v="2"/>
    <n v="3.13"/>
    <n v="18.78"/>
    <x v="1"/>
  </r>
  <r>
    <s v="ORD0019"/>
    <x v="18"/>
    <s v="CUST015"/>
    <s v="PROD020"/>
    <n v="2"/>
    <x v="5"/>
    <s v="carsonkenneth@hotmail.com"/>
    <x v="5"/>
    <x v="0"/>
    <x v="1"/>
    <x v="2"/>
    <n v="3.38"/>
    <n v="6.76"/>
    <x v="0"/>
  </r>
  <r>
    <s v="ORD0020"/>
    <x v="19"/>
    <s v="CUST014"/>
    <s v="PROD005"/>
    <n v="5"/>
    <x v="10"/>
    <s v="ucunningham@webb.com"/>
    <x v="10"/>
    <x v="2"/>
    <x v="2"/>
    <x v="0"/>
    <n v="4.33"/>
    <n v="21.65"/>
    <x v="1"/>
  </r>
  <r>
    <s v="ORD0021"/>
    <x v="20"/>
    <s v="CUST020"/>
    <s v="PROD009"/>
    <n v="8"/>
    <x v="8"/>
    <s v="cervantesgabriela@morgan.net"/>
    <x v="8"/>
    <x v="3"/>
    <x v="0"/>
    <x v="2"/>
    <n v="3.11"/>
    <n v="24.88"/>
    <x v="1"/>
  </r>
  <r>
    <s v="ORD0022"/>
    <x v="21"/>
    <s v="CUST003"/>
    <s v="PROD002"/>
    <n v="8"/>
    <x v="11"/>
    <s v="scott42@thompson-friedman.org"/>
    <x v="11"/>
    <x v="1"/>
    <x v="1"/>
    <x v="1"/>
    <n v="4.8"/>
    <n v="38.4"/>
    <x v="0"/>
  </r>
  <r>
    <s v="ORD0023"/>
    <x v="22"/>
    <s v="CUST019"/>
    <s v="PROD018"/>
    <n v="5"/>
    <x v="7"/>
    <s v="tholland@turner.info"/>
    <x v="7"/>
    <x v="1"/>
    <x v="0"/>
    <x v="2"/>
    <n v="2.65"/>
    <n v="13.25"/>
    <x v="0"/>
  </r>
  <r>
    <s v="ORD0024"/>
    <x v="11"/>
    <s v="CUST001"/>
    <s v="PROD015"/>
    <n v="6"/>
    <x v="12"/>
    <s v="tiffany38@hernandez-palmer.com"/>
    <x v="12"/>
    <x v="4"/>
    <x v="0"/>
    <x v="0"/>
    <n v="4.37"/>
    <n v="26.22"/>
    <x v="1"/>
  </r>
  <r>
    <s v="ORD0025"/>
    <x v="23"/>
    <s v="CUST013"/>
    <s v="PROD016"/>
    <n v="4"/>
    <x v="13"/>
    <s v="gregory16@murphy.com"/>
    <x v="13"/>
    <x v="1"/>
    <x v="2"/>
    <x v="1"/>
    <n v="4.74"/>
    <n v="18.96"/>
    <x v="0"/>
  </r>
  <r>
    <s v="ORD0026"/>
    <x v="24"/>
    <s v="CUST010"/>
    <s v="PROD007"/>
    <n v="6"/>
    <x v="14"/>
    <s v="rvillanueva@hotmail.com"/>
    <x v="0"/>
    <x v="2"/>
    <x v="1"/>
    <x v="1"/>
    <n v="4.67"/>
    <n v="28.02"/>
    <x v="0"/>
  </r>
  <r>
    <s v="ORD0027"/>
    <x v="25"/>
    <s v="CUST012"/>
    <s v="PROD012"/>
    <n v="3"/>
    <x v="15"/>
    <s v="jonathandavis@yahoo.com"/>
    <x v="14"/>
    <x v="4"/>
    <x v="2"/>
    <x v="1"/>
    <n v="4.82"/>
    <n v="14.46"/>
    <x v="1"/>
  </r>
  <r>
    <s v="ORD0028"/>
    <x v="26"/>
    <s v="CUST014"/>
    <s v="PROD015"/>
    <n v="1"/>
    <x v="0"/>
    <s v="ucunningham@webb.com"/>
    <x v="10"/>
    <x v="4"/>
    <x v="0"/>
    <x v="0"/>
    <n v="4.37"/>
    <n v="4.37"/>
    <x v="1"/>
  </r>
  <r>
    <s v="ORD0029"/>
    <x v="27"/>
    <s v="CUST009"/>
    <s v="PROD015"/>
    <n v="2"/>
    <x v="16"/>
    <s v="clementscole@stewart.com"/>
    <x v="15"/>
    <x v="4"/>
    <x v="0"/>
    <x v="0"/>
    <n v="4.37"/>
    <n v="8.74"/>
    <x v="1"/>
  </r>
  <r>
    <s v="ORD0030"/>
    <x v="8"/>
    <s v="CUST016"/>
    <s v="PROD016"/>
    <n v="6"/>
    <x v="0"/>
    <s v="bakerjuan@hotmail.com"/>
    <x v="9"/>
    <x v="1"/>
    <x v="2"/>
    <x v="1"/>
    <n v="4.74"/>
    <n v="28.44"/>
    <x v="0"/>
  </r>
  <r>
    <s v="ORD0031"/>
    <x v="28"/>
    <s v="CUST014"/>
    <s v="PROD011"/>
    <n v="8"/>
    <x v="4"/>
    <s v="ucunningham@webb.com"/>
    <x v="10"/>
    <x v="5"/>
    <x v="2"/>
    <x v="0"/>
    <n v="4.42"/>
    <n v="35.36"/>
    <x v="1"/>
  </r>
  <r>
    <s v="ORD0032"/>
    <x v="29"/>
    <s v="CUST013"/>
    <s v="PROD001"/>
    <n v="9"/>
    <x v="1"/>
    <s v="gregory16@murphy.com"/>
    <x v="13"/>
    <x v="3"/>
    <x v="1"/>
    <x v="2"/>
    <n v="3.24"/>
    <n v="29.160000000000004"/>
    <x v="0"/>
  </r>
  <r>
    <s v="ORD0033"/>
    <x v="30"/>
    <s v="CUST018"/>
    <s v="PROD002"/>
    <n v="3"/>
    <x v="15"/>
    <s v="jessica31@sanchez-young.com"/>
    <x v="3"/>
    <x v="1"/>
    <x v="1"/>
    <x v="1"/>
    <n v="4.8"/>
    <n v="14.399999999999999"/>
    <x v="1"/>
  </r>
  <r>
    <s v="ORD0034"/>
    <x v="31"/>
    <s v="CUST005"/>
    <s v="PROD005"/>
    <n v="9"/>
    <x v="1"/>
    <s v="hestercharles@jackson-hicks.com"/>
    <x v="1"/>
    <x v="2"/>
    <x v="2"/>
    <x v="0"/>
    <n v="4.33"/>
    <n v="38.97"/>
    <x v="0"/>
  </r>
  <r>
    <s v="ORD0035"/>
    <x v="32"/>
    <s v="CUST001"/>
    <s v="PROD013"/>
    <n v="7"/>
    <x v="12"/>
    <s v="tiffany38@hernandez-palmer.com"/>
    <x v="12"/>
    <x v="1"/>
    <x v="2"/>
    <x v="1"/>
    <n v="5.5"/>
    <n v="38.5"/>
    <x v="1"/>
  </r>
  <r>
    <s v="ORD0036"/>
    <x v="33"/>
    <s v="CUST020"/>
    <s v="PROD012"/>
    <n v="10"/>
    <x v="8"/>
    <s v="cervantesgabriela@morgan.net"/>
    <x v="8"/>
    <x v="4"/>
    <x v="2"/>
    <x v="1"/>
    <n v="4.82"/>
    <n v="48.2"/>
    <x v="1"/>
  </r>
  <r>
    <s v="ORD0037"/>
    <x v="34"/>
    <s v="CUST014"/>
    <s v="PROD003"/>
    <n v="9"/>
    <x v="10"/>
    <s v="ucunningham@webb.com"/>
    <x v="10"/>
    <x v="0"/>
    <x v="0"/>
    <x v="1"/>
    <n v="5"/>
    <n v="45"/>
    <x v="1"/>
  </r>
  <r>
    <s v="ORD0038"/>
    <x v="35"/>
    <s v="CUST009"/>
    <s v="PROD013"/>
    <n v="1"/>
    <x v="15"/>
    <s v="clementscole@stewart.com"/>
    <x v="15"/>
    <x v="1"/>
    <x v="2"/>
    <x v="1"/>
    <n v="5.5"/>
    <n v="5.5"/>
    <x v="1"/>
  </r>
  <r>
    <s v="ORD0039"/>
    <x v="36"/>
    <s v="CUST009"/>
    <s v="PROD020"/>
    <n v="7"/>
    <x v="15"/>
    <s v="clementscole@stewart.com"/>
    <x v="15"/>
    <x v="0"/>
    <x v="1"/>
    <x v="2"/>
    <n v="3.38"/>
    <n v="23.66"/>
    <x v="1"/>
  </r>
  <r>
    <s v="ORD0040"/>
    <x v="37"/>
    <s v="CUST012"/>
    <s v="PROD017"/>
    <n v="6"/>
    <x v="13"/>
    <s v="jonathandavis@yahoo.com"/>
    <x v="14"/>
    <x v="3"/>
    <x v="2"/>
    <x v="1"/>
    <n v="4.7"/>
    <n v="28.20000000000000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45">
  <location ref="A3:B8" firstHeaderRow="1" firstDataRow="1" firstDataCol="1"/>
  <pivotFields count="15">
    <pivotField compact="0" outline="0" showAll="0" defaultSubtotal="0"/>
    <pivotField compact="0" numFmtId="164"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name="customer name" axis="axisRow" compact="0" outline="0" showAll="0" measureFilter="1" sortType="ascending" defaultSubtotal="0">
      <items count="17">
        <item x="2"/>
        <item x="7"/>
        <item x="15"/>
        <item n="ugu" x="13"/>
        <item x="11"/>
        <item x="4"/>
        <item x="6"/>
        <item x="3"/>
        <item x="12"/>
        <item x="16"/>
        <item x="1"/>
        <item x="9"/>
        <item x="8"/>
        <item x="0"/>
        <item x="14"/>
        <item x="5"/>
        <item x="1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16">
        <item x="5"/>
        <item x="4"/>
        <item x="2"/>
        <item x="15"/>
        <item x="1"/>
        <item x="0"/>
        <item x="9"/>
        <item x="10"/>
        <item x="11"/>
        <item x="7"/>
        <item x="8"/>
        <item x="3"/>
        <item x="14"/>
        <item x="6"/>
        <item x="12"/>
        <item x="13"/>
      </items>
    </pivotField>
    <pivotField compact="0" outline="0" showAll="0" defaultSubtotal="0">
      <items count="6">
        <item x="4"/>
        <item x="5"/>
        <item x="2"/>
        <item x="3"/>
        <item x="0"/>
        <item x="1"/>
      </items>
    </pivotField>
    <pivotField compact="0" outline="0" showAll="0" defaultSubtotal="0">
      <items count="3">
        <item x="0"/>
        <item x="1"/>
        <item x="2"/>
      </items>
    </pivotField>
    <pivotField compact="0" outline="0" showAll="0" defaultSubtotal="0">
      <items count="3">
        <item x="1"/>
        <item x="0"/>
        <item x="2"/>
      </items>
    </pivotField>
    <pivotField compact="0" outline="0" showAll="0" defaultSubtotal="0"/>
    <pivotField dataField="1" compact="0" outline="0" showAll="0" defaultSubtotal="0"/>
    <pivotField compact="0" outline="0" showAll="0" defaultSubtotal="0">
      <items count="2">
        <item x="1"/>
        <item x="0"/>
      </items>
    </pivotField>
    <pivotField compact="0" outline="0" showAll="0" defaultSubtotal="0">
      <items count="4">
        <item x="0"/>
        <item x="1"/>
        <item x="2"/>
        <item x="3"/>
      </items>
    </pivotField>
  </pivotFields>
  <rowFields count="1">
    <field x="5"/>
  </rowFields>
  <rowItems count="5">
    <i>
      <x v="8"/>
    </i>
    <i>
      <x v="5"/>
    </i>
    <i>
      <x v="16"/>
    </i>
    <i>
      <x v="10"/>
    </i>
    <i>
      <x v="12"/>
    </i>
  </rowItems>
  <colItems count="1">
    <i/>
  </colItems>
  <dataFields count="1">
    <dataField name="Sum of Sales" fld="12" baseField="1" baseItem="6" numFmtId="1"/>
  </dataFields>
  <chartFormats count="7">
    <chartFormat chart="22" format="29"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0"/>
          </reference>
        </references>
      </pivotArea>
    </chartFormat>
    <chartFormat chart="33" format="3"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2" format="31" series="1">
      <pivotArea type="data" outline="0" fieldPosition="0">
        <references count="1">
          <reference field="4294967294" count="1" selected="0">
            <x v="0"/>
          </reference>
        </references>
      </pivotArea>
    </chartFormat>
    <chartFormat chart="44" format="4"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filters count="2">
    <filter fld="1" type="dateBetween" evalOrder="-1" id="69" name="Order date">
      <autoFilter ref="A1">
        <filterColumn colId="0">
          <customFilters and="1">
            <customFilter operator="greaterThanOrEqual" val="45292"/>
            <customFilter operator="lessThanOrEqual" val="45869"/>
          </customFilters>
        </filterColumn>
      </autoFilter>
      <extLst>
        <ext xmlns:x15="http://schemas.microsoft.com/office/spreadsheetml/2010/11/main" uri="{0605FD5F-26C8-4aeb-8148-2DB25E43C511}">
          <x15:pivotFilter useWholeDay="1"/>
        </ext>
      </extLst>
    </filter>
    <filter fld="5" type="count" evalOrder="-1" id="3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6">
  <location ref="A3:H18" firstHeaderRow="1" firstDataRow="2" firstDataCol="1"/>
  <pivotFields count="15">
    <pivotField showAll="0"/>
    <pivotField axis="axisRow"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axis="axisCol" showAll="0">
      <items count="7">
        <item x="4"/>
        <item x="5"/>
        <item x="2"/>
        <item x="3"/>
        <item x="0"/>
        <item x="1"/>
        <item t="default"/>
      </items>
    </pivotField>
    <pivotField showAll="0">
      <items count="4">
        <item x="0"/>
        <item x="1"/>
        <item x="2"/>
        <item t="default"/>
      </items>
    </pivotField>
    <pivotField showAll="0">
      <items count="4">
        <item x="1"/>
        <item x="0"/>
        <item x="2"/>
        <item t="default"/>
      </items>
    </pivotField>
    <pivotField showAll="0"/>
    <pivotField dataField="1" showAll="0"/>
    <pivotField showAll="0">
      <items count="3">
        <item x="1"/>
        <item x="0"/>
        <item t="default"/>
      </items>
    </pivotField>
    <pivotField axis="axisRow" showAll="0" defaultSubtotal="0">
      <items count="4">
        <item x="0"/>
        <item x="1"/>
        <item x="2"/>
        <item x="3"/>
      </items>
    </pivotField>
  </pivotFields>
  <rowFields count="2">
    <field x="14"/>
    <field x="1"/>
  </rowFields>
  <rowItems count="14">
    <i>
      <x v="1"/>
    </i>
    <i r="1">
      <x v="6"/>
    </i>
    <i r="1">
      <x v="7"/>
    </i>
    <i r="1">
      <x v="8"/>
    </i>
    <i r="1">
      <x v="10"/>
    </i>
    <i r="1">
      <x v="11"/>
    </i>
    <i r="1">
      <x v="12"/>
    </i>
    <i>
      <x v="2"/>
    </i>
    <i r="1">
      <x v="1"/>
    </i>
    <i r="1">
      <x v="2"/>
    </i>
    <i r="1">
      <x v="3"/>
    </i>
    <i r="1">
      <x v="4"/>
    </i>
    <i r="1">
      <x v="5"/>
    </i>
    <i t="grand">
      <x/>
    </i>
  </rowItems>
  <colFields count="1">
    <field x="8"/>
  </colFields>
  <colItems count="7">
    <i>
      <x/>
    </i>
    <i>
      <x v="1"/>
    </i>
    <i>
      <x v="2"/>
    </i>
    <i>
      <x v="3"/>
    </i>
    <i>
      <x v="4"/>
    </i>
    <i>
      <x v="5"/>
    </i>
    <i t="grand">
      <x/>
    </i>
  </colItems>
  <dataFields count="1">
    <dataField name="Sum of Sales" fld="12" baseField="0" baseItem="0"/>
  </dataFields>
  <chartFormats count="12">
    <chartFormat chart="3" format="0" series="1">
      <pivotArea type="data" outline="0" fieldPosition="0">
        <references count="2">
          <reference field="4294967294" count="1" selected="0">
            <x v="0"/>
          </reference>
          <reference field="8" count="1" selected="0">
            <x v="0"/>
          </reference>
        </references>
      </pivotArea>
    </chartFormat>
    <chartFormat chart="3" format="1" series="1">
      <pivotArea type="data" outline="0" fieldPosition="0">
        <references count="2">
          <reference field="4294967294" count="1" selected="0">
            <x v="0"/>
          </reference>
          <reference field="8" count="1" selected="0">
            <x v="1"/>
          </reference>
        </references>
      </pivotArea>
    </chartFormat>
    <chartFormat chart="3" format="2" series="1">
      <pivotArea type="data" outline="0" fieldPosition="0">
        <references count="2">
          <reference field="4294967294" count="1" selected="0">
            <x v="0"/>
          </reference>
          <reference field="8" count="1" selected="0">
            <x v="2"/>
          </reference>
        </references>
      </pivotArea>
    </chartFormat>
    <chartFormat chart="3" format="3" series="1">
      <pivotArea type="data" outline="0" fieldPosition="0">
        <references count="2">
          <reference field="4294967294" count="1" selected="0">
            <x v="0"/>
          </reference>
          <reference field="8" count="1" selected="0">
            <x v="3"/>
          </reference>
        </references>
      </pivotArea>
    </chartFormat>
    <chartFormat chart="3" format="4" series="1">
      <pivotArea type="data" outline="0" fieldPosition="0">
        <references count="2">
          <reference field="4294967294" count="1" selected="0">
            <x v="0"/>
          </reference>
          <reference field="8" count="1" selected="0">
            <x v="4"/>
          </reference>
        </references>
      </pivotArea>
    </chartFormat>
    <chartFormat chart="3" format="5" series="1">
      <pivotArea type="data" outline="0" fieldPosition="0">
        <references count="2">
          <reference field="4294967294" count="1" selected="0">
            <x v="0"/>
          </reference>
          <reference field="8" count="1" selected="0">
            <x v="5"/>
          </reference>
        </references>
      </pivotArea>
    </chartFormat>
    <chartFormat chart="5" format="12" series="1">
      <pivotArea type="data" outline="0" fieldPosition="0">
        <references count="2">
          <reference field="4294967294" count="1" selected="0">
            <x v="0"/>
          </reference>
          <reference field="8" count="1" selected="0">
            <x v="0"/>
          </reference>
        </references>
      </pivotArea>
    </chartFormat>
    <chartFormat chart="5" format="13" series="1">
      <pivotArea type="data" outline="0" fieldPosition="0">
        <references count="2">
          <reference field="4294967294" count="1" selected="0">
            <x v="0"/>
          </reference>
          <reference field="8" count="1" selected="0">
            <x v="1"/>
          </reference>
        </references>
      </pivotArea>
    </chartFormat>
    <chartFormat chart="5" format="14" series="1">
      <pivotArea type="data" outline="0" fieldPosition="0">
        <references count="2">
          <reference field="4294967294" count="1" selected="0">
            <x v="0"/>
          </reference>
          <reference field="8" count="1" selected="0">
            <x v="2"/>
          </reference>
        </references>
      </pivotArea>
    </chartFormat>
    <chartFormat chart="5" format="15" series="1">
      <pivotArea type="data" outline="0" fieldPosition="0">
        <references count="2">
          <reference field="4294967294" count="1" selected="0">
            <x v="0"/>
          </reference>
          <reference field="8" count="1" selected="0">
            <x v="3"/>
          </reference>
        </references>
      </pivotArea>
    </chartFormat>
    <chartFormat chart="5" format="16" series="1">
      <pivotArea type="data" outline="0" fieldPosition="0">
        <references count="2">
          <reference field="4294967294" count="1" selected="0">
            <x v="0"/>
          </reference>
          <reference field="8" count="1" selected="0">
            <x v="4"/>
          </reference>
        </references>
      </pivotArea>
    </chartFormat>
    <chartFormat chart="5" format="17" series="1">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filters count="1">
    <filter fld="1" type="dateBetween" evalOrder="-1" id="20" name="Order date">
      <autoFilter ref="A1">
        <filterColumn colId="0">
          <customFilters and="1">
            <customFilter operator="greaterThanOrEqual" val="45292"/>
            <customFilter operator="lessThanOrEqual" val="458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0">
  <location ref="A3:B20" firstHeaderRow="1" firstDataRow="1" firstDataCol="1"/>
  <pivotFields count="15">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axis="axisRow" showAll="0">
      <items count="17">
        <item x="5"/>
        <item x="4"/>
        <item x="2"/>
        <item x="15"/>
        <item x="1"/>
        <item x="0"/>
        <item x="9"/>
        <item x="10"/>
        <item x="11"/>
        <item x="7"/>
        <item x="8"/>
        <item x="3"/>
        <item x="14"/>
        <item x="6"/>
        <item x="12"/>
        <item x="13"/>
        <item t="default"/>
      </items>
    </pivotField>
    <pivotField showAll="0"/>
    <pivotField showAll="0"/>
    <pivotField showAll="0"/>
    <pivotField showAll="0"/>
    <pivotField dataField="1" showAll="0"/>
    <pivotField showAll="0"/>
    <pivotField showAll="0" defaultSubtotal="0"/>
  </pivotFields>
  <rowFields count="1">
    <field x="7"/>
  </rowFields>
  <rowItems count="17">
    <i>
      <x/>
    </i>
    <i>
      <x v="1"/>
    </i>
    <i>
      <x v="2"/>
    </i>
    <i>
      <x v="3"/>
    </i>
    <i>
      <x v="4"/>
    </i>
    <i>
      <x v="5"/>
    </i>
    <i>
      <x v="6"/>
    </i>
    <i>
      <x v="7"/>
    </i>
    <i>
      <x v="8"/>
    </i>
    <i>
      <x v="9"/>
    </i>
    <i>
      <x v="10"/>
    </i>
    <i>
      <x v="11"/>
    </i>
    <i>
      <x v="12"/>
    </i>
    <i>
      <x v="13"/>
    </i>
    <i>
      <x v="14"/>
    </i>
    <i>
      <x v="15"/>
    </i>
    <i t="grand">
      <x/>
    </i>
  </rowItems>
  <colItems count="1">
    <i/>
  </colItems>
  <dataFields count="1">
    <dataField name="Sum of Sales" fld="12" baseField="0" baseItem="0"/>
  </dataFields>
  <chartFormats count="3">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3" name="Order date">
      <autoFilter ref="A1">
        <filterColumn colId="0">
          <customFilters and="1">
            <customFilter operator="greaterThanOrEqual" val="45292"/>
            <customFilter operator="lessThanOrEqual" val="458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oast_type" sourceName="Roast type">
  <pivotTables>
    <pivotTable tabId="4" name="PivotTable7"/>
  </pivotTables>
  <data>
    <tabular pivotCacheId="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ize" sourceName="Size">
  <pivotTables>
    <pivotTable tabId="4" name="PivotTable7"/>
  </pivotTables>
  <data>
    <tabular pivotCacheId="1">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Loyalty_cards" sourceName="Loyalty cards">
  <pivotTables>
    <pivotTable tabId="4" name="PivotTable7"/>
  </pivotTables>
  <data>
    <tabular pivotCacheId="1">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oast_type1" sourceName="Roast type">
  <pivotTables>
    <pivotTable tabId="7" name="PivotTable8"/>
  </pivotTables>
  <data>
    <tabular pivotCacheId="1">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Size1" sourceName="Size">
  <pivotTables>
    <pivotTable tabId="7" name="PivotTable8"/>
  </pivotTables>
  <data>
    <tabular pivotCacheId="1">
      <items count="3">
        <i x="1" s="1"/>
        <i x="0"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Loyalty_cards1" sourceName="Loyalty cards">
  <pivotTables>
    <pivotTable tabId="7" name="PivotTable8"/>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oast type 2" cache="Slicer_Roast_type1" caption="Roast type" rowHeight="234950"/>
  <slicer name="Size 2" cache="Slicer_Size1" caption="Size" rowHeight="234950"/>
  <slicer name="Loyalty cards 2" cache="Slicer_Loyalty_cards1" caption="Loyalty cards"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Roast type 1" cache="Slicer_Roast_type" caption="Roast type" rowHeight="234950"/>
  <slicer name="Size 1" cache="Slicer_Size" caption="Size" rowHeight="234950"/>
  <slicer name="Loyalty cards 1" cache="Slicer_Loyalty_cards" caption="Loyalty cards" rowHeight="234950"/>
</slicers>
</file>

<file path=xl/slicers/slicer3.xml><?xml version="1.0" encoding="utf-8"?>
<slicers xmlns="http://schemas.microsoft.com/office/spreadsheetml/2009/9/main" xmlns:mc="http://schemas.openxmlformats.org/markup-compatibility/2006" xmlns:x="http://schemas.openxmlformats.org/spreadsheetml/2006/main" mc:Ignorable="x">
  <slicer name="Roast type" cache="Slicer_Roast_type1" caption="Roast type" rowHeight="234950"/>
  <slicer name="Size" cache="Slicer_Size1" caption="Size" rowHeight="234950"/>
  <slicer name="Loyalty cards" cache="Slicer_Loyalty_cards1" caption="Loyalty cards" rowHeight="234950"/>
</slicers>
</file>

<file path=xl/tables/table1.xml><?xml version="1.0" encoding="utf-8"?>
<table xmlns="http://schemas.openxmlformats.org/spreadsheetml/2006/main" id="1" name="Table1" displayName="Table1" ref="O11:O12" insertRow="1" totalsRowShown="0">
  <autoFilter ref="O11:O12"/>
  <tableColumns count="1">
    <tableColumn id="1" name="Column1"/>
  </tableColumns>
  <tableStyleInfo name="TableStyleMedium9" showFirstColumn="0" showLastColumn="0" showRowStripes="1" showColumnStripes="0"/>
</table>
</file>

<file path=xl/tables/table2.xml><?xml version="1.0" encoding="utf-8"?>
<table xmlns="http://schemas.openxmlformats.org/spreadsheetml/2006/main" id="2" name="Table2" displayName="Table2" ref="A1:N41" totalsRowShown="0" headerRowDxfId="14" dataDxfId="13">
  <autoFilter ref="A1:N41"/>
  <tableColumns count="14">
    <tableColumn id="1" name="Order ID" dataDxfId="12"/>
    <tableColumn id="2" name="Order date" dataDxfId="11"/>
    <tableColumn id="3" name="Customer ID" dataDxfId="10"/>
    <tableColumn id="4" name="Product ID" dataDxfId="9"/>
    <tableColumn id="5" name="Quantity" dataDxfId="8"/>
    <tableColumn id="6" name=" customer name" dataDxfId="7">
      <calculatedColumnFormula>INDEX(Customers!B$1:B$21, MATCH(C2, Customers!A$1:A$21, 0))</calculatedColumnFormula>
    </tableColumn>
    <tableColumn id="7" name="Email">
      <calculatedColumnFormula>INDEX(Customers!C$1:C$21, MATCH(C2, Customers!A$1:A$21, 0))</calculatedColumnFormula>
    </tableColumn>
    <tableColumn id="8" name="Country" dataDxfId="6">
      <calculatedColumnFormula>INDEX(Customers!$G$1:$G$21, MATCH(C2,Customers!$A$1:$A$21,0))</calculatedColumnFormula>
    </tableColumn>
    <tableColumn id="9" name="Coffee type" dataDxfId="5">
      <calculatedColumnFormula>INDEX(Products!B$2:B$41, MATCH(D2, Products!A$2:A$41, 0))</calculatedColumnFormula>
    </tableColumn>
    <tableColumn id="10" name="Roast type" dataDxfId="4">
      <calculatedColumnFormula>INDEX(Products!C$2:C$41, MATCH(D2, Products!A$2:A$41, 0))</calculatedColumnFormula>
    </tableColumn>
    <tableColumn id="11" name="Size" dataDxfId="3">
      <calculatedColumnFormula>INDEX(Products!D$2:D$41, MATCH(D2, Products!A$2:A$41, 0))</calculatedColumnFormula>
    </tableColumn>
    <tableColumn id="12" name="Unit price" dataDxfId="2">
      <calculatedColumnFormula>INDEX(Products!E$2:E$41, MATCH(D2, Products!A$2:A$41, 0))</calculatedColumnFormula>
    </tableColumn>
    <tableColumn id="13" name="Sales" dataDxfId="1">
      <calculatedColumnFormula>L2*E2</calculatedColumnFormula>
    </tableColumn>
    <tableColumn id="14" name="Loyalty cards" dataDxfId="0">
      <calculatedColumnFormula>INDEX(Customers!I$2:I$41, MATCH(C2, Customers!A$2:A$41, 0))</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name="NativeTimeline_Order_date1" sourceName="Order date">
  <pivotTables>
    <pivotTable tabId="7" name="PivotTable8"/>
    <pivotTable tabId="8" name="PivotTable1"/>
    <pivotTable tabId="4" name="PivotTable7"/>
  </pivotTables>
  <state minimalRefreshVersion="6" lastRefreshVersion="6" pivotCacheId="1" filterType="dateBetween">
    <selection startDate="2024-01-01T00:00:00" endDate="2025-07-31T00:00:00"/>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 date 1" cache="NativeTimeline_Order_date1" caption="Order date" level="2" selectionLevel="2" scrollPosition="2024-05-25T00:00:00" style="project time line"/>
</timelines>
</file>

<file path=xl/timelines/timeline2.xml><?xml version="1.0" encoding="utf-8"?>
<timelines xmlns="http://schemas.microsoft.com/office/spreadsheetml/2010/11/main" xmlns:mc="http://schemas.openxmlformats.org/markup-compatibility/2006" xmlns:x="http://schemas.openxmlformats.org/spreadsheetml/2006/main" mc:Ignorable="x">
  <timeline name="Order date 2" cache="NativeTimeline_Order_date1" caption="Order date" level="2" selectionLevel="2" scrollPosition="2024-01-01T00:00:00" style="project time line"/>
</timelines>
</file>

<file path=xl/timelines/timeline3.xml><?xml version="1.0" encoding="utf-8"?>
<timelines xmlns="http://schemas.microsoft.com/office/spreadsheetml/2010/11/main" xmlns:mc="http://schemas.openxmlformats.org/markup-compatibility/2006" xmlns:x="http://schemas.openxmlformats.org/spreadsheetml/2006/main" mc:Ignorable="x">
  <timeline name="Order date" cache="NativeTimeline_Order_date1" caption="Order date" level="2" selectionLevel="2" scrollPosition="2025-06-06T00:00:00" style="project time line"/>
</timeline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 Id="rId4" Type="http://schemas.microsoft.com/office/2011/relationships/timeline" Target="../timelines/timelin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1"/>
  <sheetViews>
    <sheetView zoomScale="117" workbookViewId="0">
      <selection activeCell="G1" sqref="G1:G21"/>
    </sheetView>
  </sheetViews>
  <sheetFormatPr defaultRowHeight="15" x14ac:dyDescent="0.25"/>
  <cols>
    <col min="1" max="1" width="10.140625" customWidth="1"/>
    <col min="2" max="2" width="17.28515625" customWidth="1"/>
    <col min="3" max="3" width="30.7109375" customWidth="1"/>
    <col min="4" max="4" width="21.5703125" customWidth="1"/>
    <col min="5" max="5" width="22.42578125" customWidth="1"/>
    <col min="6" max="6" width="17.7109375" customWidth="1"/>
    <col min="7" max="7" width="30.7109375" customWidth="1"/>
    <col min="8" max="8" width="11.140625" customWidth="1"/>
    <col min="9" max="9" width="10.85546875" customWidth="1"/>
  </cols>
  <sheetData>
    <row r="1" spans="1:12" x14ac:dyDescent="0.25">
      <c r="A1" s="3" t="s">
        <v>1</v>
      </c>
      <c r="B1" s="3" t="s">
        <v>78</v>
      </c>
      <c r="C1" s="3" t="s">
        <v>79</v>
      </c>
      <c r="D1" s="3" t="s">
        <v>80</v>
      </c>
      <c r="E1" s="3" t="s">
        <v>81</v>
      </c>
      <c r="F1" s="3" t="s">
        <v>82</v>
      </c>
      <c r="G1" s="3" t="s">
        <v>83</v>
      </c>
      <c r="H1" s="3" t="s">
        <v>84</v>
      </c>
      <c r="I1" s="3" t="s">
        <v>85</v>
      </c>
      <c r="J1" s="6"/>
      <c r="K1" s="6"/>
      <c r="L1" s="6"/>
    </row>
    <row r="2" spans="1:12" x14ac:dyDescent="0.25">
      <c r="A2" s="6" t="s">
        <v>56</v>
      </c>
      <c r="B2" s="6" t="s">
        <v>90</v>
      </c>
      <c r="C2" s="6" t="s">
        <v>110</v>
      </c>
      <c r="D2" s="6" t="s">
        <v>130</v>
      </c>
      <c r="E2" s="6" t="s">
        <v>150</v>
      </c>
      <c r="F2" s="6" t="s">
        <v>170</v>
      </c>
      <c r="G2" s="6" t="s">
        <v>189</v>
      </c>
      <c r="H2" s="6" t="s">
        <v>209</v>
      </c>
      <c r="I2" s="6" t="s">
        <v>229</v>
      </c>
      <c r="J2" s="6"/>
      <c r="K2" s="6"/>
      <c r="L2" s="6"/>
    </row>
    <row r="3" spans="1:12" x14ac:dyDescent="0.25">
      <c r="A3" s="6" t="s">
        <v>46</v>
      </c>
      <c r="B3" s="6" t="s">
        <v>91</v>
      </c>
      <c r="C3" s="6" t="s">
        <v>111</v>
      </c>
      <c r="D3" s="6" t="s">
        <v>131</v>
      </c>
      <c r="E3" s="6" t="s">
        <v>151</v>
      </c>
      <c r="F3" s="6" t="s">
        <v>171</v>
      </c>
      <c r="G3" s="6" t="s">
        <v>190</v>
      </c>
      <c r="H3" s="6" t="s">
        <v>210</v>
      </c>
      <c r="I3" s="6" t="s">
        <v>230</v>
      </c>
      <c r="J3" s="6"/>
      <c r="K3" s="6"/>
      <c r="L3" s="6"/>
    </row>
    <row r="4" spans="1:12" x14ac:dyDescent="0.25">
      <c r="A4" s="6" t="s">
        <v>55</v>
      </c>
      <c r="B4" s="6" t="s">
        <v>92</v>
      </c>
      <c r="C4" s="6" t="s">
        <v>112</v>
      </c>
      <c r="D4" s="6" t="s">
        <v>132</v>
      </c>
      <c r="E4" s="6" t="s">
        <v>152</v>
      </c>
      <c r="F4" s="6" t="s">
        <v>172</v>
      </c>
      <c r="G4" s="6" t="s">
        <v>191</v>
      </c>
      <c r="H4" s="6" t="s">
        <v>211</v>
      </c>
      <c r="I4" s="6" t="s">
        <v>230</v>
      </c>
      <c r="J4" s="6"/>
      <c r="K4" s="6"/>
      <c r="L4" s="6"/>
    </row>
    <row r="5" spans="1:12" x14ac:dyDescent="0.25">
      <c r="A5" s="6" t="s">
        <v>86</v>
      </c>
      <c r="B5" s="6" t="s">
        <v>93</v>
      </c>
      <c r="C5" s="6" t="s">
        <v>113</v>
      </c>
      <c r="D5" s="6" t="s">
        <v>133</v>
      </c>
      <c r="E5" s="6" t="s">
        <v>153</v>
      </c>
      <c r="F5" s="6" t="str">
        <f>VLOOKUP(Customers!A19,Customers!$A$1:$I$21,2,0)</f>
        <v>Jeffrey Moore</v>
      </c>
      <c r="G5" s="6" t="s">
        <v>192</v>
      </c>
      <c r="H5" s="6" t="s">
        <v>212</v>
      </c>
      <c r="I5" s="6" t="s">
        <v>229</v>
      </c>
      <c r="J5" s="6"/>
      <c r="K5" s="6"/>
      <c r="L5" s="6"/>
    </row>
    <row r="6" spans="1:12" x14ac:dyDescent="0.25">
      <c r="A6" s="6" t="s">
        <v>45</v>
      </c>
      <c r="B6" s="6" t="s">
        <v>94</v>
      </c>
      <c r="C6" s="6" t="s">
        <v>114</v>
      </c>
      <c r="D6" s="6" t="s">
        <v>134</v>
      </c>
      <c r="E6" s="6" t="s">
        <v>154</v>
      </c>
      <c r="F6" s="6" t="s">
        <v>173</v>
      </c>
      <c r="G6" s="6" t="s">
        <v>193</v>
      </c>
      <c r="H6" s="6" t="s">
        <v>213</v>
      </c>
      <c r="I6" s="6" t="s">
        <v>230</v>
      </c>
      <c r="J6" s="6"/>
      <c r="K6" s="6"/>
      <c r="L6" s="6"/>
    </row>
    <row r="7" spans="1:12" x14ac:dyDescent="0.25">
      <c r="A7" s="6" t="s">
        <v>50</v>
      </c>
      <c r="B7" s="6" t="s">
        <v>95</v>
      </c>
      <c r="C7" s="6" t="s">
        <v>115</v>
      </c>
      <c r="D7" s="6" t="s">
        <v>135</v>
      </c>
      <c r="E7" s="6" t="s">
        <v>155</v>
      </c>
      <c r="F7" s="6" t="s">
        <v>174</v>
      </c>
      <c r="G7" s="6" t="s">
        <v>194</v>
      </c>
      <c r="H7" s="6" t="s">
        <v>214</v>
      </c>
      <c r="I7" s="6" t="s">
        <v>229</v>
      </c>
      <c r="J7" s="6"/>
      <c r="K7" s="6"/>
      <c r="L7" s="6"/>
    </row>
    <row r="8" spans="1:12" x14ac:dyDescent="0.25">
      <c r="A8" s="6" t="s">
        <v>48</v>
      </c>
      <c r="B8" s="6" t="s">
        <v>96</v>
      </c>
      <c r="C8" s="6" t="s">
        <v>116</v>
      </c>
      <c r="D8" s="6" t="s">
        <v>136</v>
      </c>
      <c r="E8" s="6" t="s">
        <v>156</v>
      </c>
      <c r="F8" s="6" t="s">
        <v>175</v>
      </c>
      <c r="G8" s="6" t="s">
        <v>195</v>
      </c>
      <c r="H8" s="6" t="s">
        <v>215</v>
      </c>
      <c r="I8" s="6" t="s">
        <v>230</v>
      </c>
      <c r="J8" s="6"/>
      <c r="K8" s="6"/>
      <c r="L8" s="6"/>
    </row>
    <row r="9" spans="1:12" x14ac:dyDescent="0.25">
      <c r="A9" s="6" t="s">
        <v>87</v>
      </c>
      <c r="B9" s="6" t="s">
        <v>97</v>
      </c>
      <c r="C9" s="6" t="s">
        <v>117</v>
      </c>
      <c r="D9" s="6" t="s">
        <v>137</v>
      </c>
      <c r="E9" s="6" t="s">
        <v>157</v>
      </c>
      <c r="F9" s="6" t="s">
        <v>176</v>
      </c>
      <c r="G9" s="6" t="s">
        <v>196</v>
      </c>
      <c r="H9" s="6" t="s">
        <v>216</v>
      </c>
      <c r="I9" s="6" t="s">
        <v>230</v>
      </c>
      <c r="J9" s="6"/>
      <c r="K9" s="6"/>
      <c r="L9" s="6"/>
    </row>
    <row r="10" spans="1:12" x14ac:dyDescent="0.25">
      <c r="A10" s="6" t="s">
        <v>59</v>
      </c>
      <c r="B10" s="6" t="s">
        <v>98</v>
      </c>
      <c r="C10" s="6" t="s">
        <v>118</v>
      </c>
      <c r="D10" s="6" t="s">
        <v>138</v>
      </c>
      <c r="E10" s="6" t="s">
        <v>158</v>
      </c>
      <c r="F10" s="6" t="s">
        <v>177</v>
      </c>
      <c r="G10" s="6" t="s">
        <v>197</v>
      </c>
      <c r="H10" s="6" t="s">
        <v>217</v>
      </c>
      <c r="I10" s="6" t="s">
        <v>229</v>
      </c>
      <c r="J10" s="6"/>
      <c r="K10" s="6"/>
      <c r="L10" s="6"/>
    </row>
    <row r="11" spans="1:12" x14ac:dyDescent="0.25">
      <c r="A11" s="6" t="s">
        <v>44</v>
      </c>
      <c r="B11" s="6" t="s">
        <v>99</v>
      </c>
      <c r="C11" s="6" t="s">
        <v>119</v>
      </c>
      <c r="D11" s="6" t="s">
        <v>139</v>
      </c>
      <c r="E11" s="6" t="s">
        <v>159</v>
      </c>
      <c r="F11" s="6" t="s">
        <v>178</v>
      </c>
      <c r="G11" s="6" t="s">
        <v>198</v>
      </c>
      <c r="H11" s="6" t="s">
        <v>218</v>
      </c>
      <c r="I11" s="6" t="s">
        <v>230</v>
      </c>
      <c r="J11" s="6"/>
      <c r="K11" s="6"/>
      <c r="L11" s="6"/>
    </row>
    <row r="12" spans="1:12" x14ac:dyDescent="0.25">
      <c r="A12" s="6" t="s">
        <v>88</v>
      </c>
      <c r="B12" s="6" t="s">
        <v>100</v>
      </c>
      <c r="C12" s="6" t="s">
        <v>120</v>
      </c>
      <c r="D12" s="6" t="s">
        <v>140</v>
      </c>
      <c r="E12" s="6" t="s">
        <v>160</v>
      </c>
      <c r="F12" s="6" t="s">
        <v>179</v>
      </c>
      <c r="G12" s="6" t="s">
        <v>199</v>
      </c>
      <c r="H12" s="6" t="s">
        <v>219</v>
      </c>
      <c r="I12" s="6" t="s">
        <v>230</v>
      </c>
      <c r="J12" s="6"/>
      <c r="K12" s="6"/>
      <c r="L12" s="6"/>
    </row>
    <row r="13" spans="1:12" x14ac:dyDescent="0.25">
      <c r="A13" s="6" t="s">
        <v>58</v>
      </c>
      <c r="B13" s="6" t="s">
        <v>101</v>
      </c>
      <c r="C13" s="6" t="s">
        <v>121</v>
      </c>
      <c r="D13" s="6" t="s">
        <v>141</v>
      </c>
      <c r="E13" s="6" t="s">
        <v>161</v>
      </c>
      <c r="F13" s="6" t="s">
        <v>180</v>
      </c>
      <c r="G13" s="6" t="s">
        <v>200</v>
      </c>
      <c r="H13" s="6" t="s">
        <v>220</v>
      </c>
      <c r="I13" s="6" t="s">
        <v>229</v>
      </c>
      <c r="J13" s="6"/>
      <c r="K13" s="6"/>
      <c r="L13" s="6"/>
    </row>
    <row r="14" spans="1:12" x14ac:dyDescent="0.25">
      <c r="A14" s="6" t="s">
        <v>57</v>
      </c>
      <c r="B14" s="6" t="s">
        <v>102</v>
      </c>
      <c r="C14" s="6" t="s">
        <v>122</v>
      </c>
      <c r="D14" s="6" t="s">
        <v>142</v>
      </c>
      <c r="E14" s="6" t="s">
        <v>162</v>
      </c>
      <c r="F14" s="6" t="s">
        <v>181</v>
      </c>
      <c r="G14" s="6" t="s">
        <v>201</v>
      </c>
      <c r="H14" s="6" t="s">
        <v>221</v>
      </c>
      <c r="I14" s="6" t="s">
        <v>230</v>
      </c>
      <c r="J14" s="6"/>
      <c r="K14" s="6"/>
      <c r="L14" s="6"/>
    </row>
    <row r="15" spans="1:12" x14ac:dyDescent="0.25">
      <c r="A15" s="6" t="s">
        <v>54</v>
      </c>
      <c r="B15" s="6" t="s">
        <v>103</v>
      </c>
      <c r="C15" s="6" t="s">
        <v>123</v>
      </c>
      <c r="D15" s="6" t="s">
        <v>143</v>
      </c>
      <c r="E15" s="6" t="s">
        <v>163</v>
      </c>
      <c r="F15" s="6" t="s">
        <v>182</v>
      </c>
      <c r="G15" s="6" t="s">
        <v>202</v>
      </c>
      <c r="H15" s="6" t="s">
        <v>222</v>
      </c>
      <c r="I15" s="6" t="s">
        <v>229</v>
      </c>
      <c r="J15" s="6"/>
      <c r="K15" s="6"/>
      <c r="L15" s="6"/>
    </row>
    <row r="16" spans="1:12" x14ac:dyDescent="0.25">
      <c r="A16" s="6" t="s">
        <v>49</v>
      </c>
      <c r="B16" s="6" t="s">
        <v>104</v>
      </c>
      <c r="C16" s="6" t="s">
        <v>124</v>
      </c>
      <c r="D16" s="6" t="s">
        <v>144</v>
      </c>
      <c r="E16" s="6" t="s">
        <v>164</v>
      </c>
      <c r="F16" s="6" t="s">
        <v>183</v>
      </c>
      <c r="G16" s="6" t="s">
        <v>203</v>
      </c>
      <c r="H16" s="6" t="s">
        <v>223</v>
      </c>
      <c r="I16" s="6" t="s">
        <v>230</v>
      </c>
      <c r="J16" s="6"/>
      <c r="K16" s="6"/>
      <c r="L16" s="6"/>
    </row>
    <row r="17" spans="1:12" x14ac:dyDescent="0.25">
      <c r="A17" s="6" t="s">
        <v>53</v>
      </c>
      <c r="B17" s="6" t="s">
        <v>105</v>
      </c>
      <c r="C17" s="6" t="s">
        <v>125</v>
      </c>
      <c r="D17" s="6" t="s">
        <v>145</v>
      </c>
      <c r="E17" s="6" t="s">
        <v>165</v>
      </c>
      <c r="F17" s="6" t="s">
        <v>184</v>
      </c>
      <c r="G17" s="6" t="s">
        <v>204</v>
      </c>
      <c r="H17" s="6" t="s">
        <v>224</v>
      </c>
      <c r="I17" s="6" t="s">
        <v>230</v>
      </c>
      <c r="J17" s="6"/>
      <c r="K17" s="6"/>
      <c r="L17" s="6"/>
    </row>
    <row r="18" spans="1:12" x14ac:dyDescent="0.25">
      <c r="A18" s="6" t="s">
        <v>89</v>
      </c>
      <c r="B18" s="6" t="s">
        <v>106</v>
      </c>
      <c r="C18" s="6" t="s">
        <v>126</v>
      </c>
      <c r="D18" s="6" t="s">
        <v>146</v>
      </c>
      <c r="E18" s="6" t="s">
        <v>166</v>
      </c>
      <c r="F18" s="6" t="s">
        <v>185</v>
      </c>
      <c r="G18" s="6" t="s">
        <v>205</v>
      </c>
      <c r="H18" s="6" t="s">
        <v>225</v>
      </c>
      <c r="I18" s="6" t="s">
        <v>230</v>
      </c>
      <c r="J18" s="6"/>
      <c r="K18" s="6"/>
      <c r="L18" s="6"/>
    </row>
    <row r="19" spans="1:12" x14ac:dyDescent="0.25">
      <c r="A19" s="6" t="s">
        <v>47</v>
      </c>
      <c r="B19" s="6" t="s">
        <v>107</v>
      </c>
      <c r="C19" s="6" t="s">
        <v>127</v>
      </c>
      <c r="D19" s="6" t="s">
        <v>147</v>
      </c>
      <c r="E19" s="6" t="s">
        <v>167</v>
      </c>
      <c r="F19" s="6" t="s">
        <v>186</v>
      </c>
      <c r="G19" s="6" t="s">
        <v>206</v>
      </c>
      <c r="H19" s="6" t="s">
        <v>226</v>
      </c>
      <c r="I19" s="6" t="s">
        <v>229</v>
      </c>
      <c r="J19" s="6"/>
      <c r="K19" s="6"/>
      <c r="L19" s="6"/>
    </row>
    <row r="20" spans="1:12" x14ac:dyDescent="0.25">
      <c r="A20" s="6" t="s">
        <v>51</v>
      </c>
      <c r="B20" s="6" t="s">
        <v>108</v>
      </c>
      <c r="C20" s="6" t="s">
        <v>128</v>
      </c>
      <c r="D20" s="6" t="s">
        <v>148</v>
      </c>
      <c r="E20" s="6" t="s">
        <v>168</v>
      </c>
      <c r="F20" s="6" t="s">
        <v>187</v>
      </c>
      <c r="G20" s="6" t="s">
        <v>207</v>
      </c>
      <c r="H20" s="6" t="s">
        <v>227</v>
      </c>
      <c r="I20" s="6" t="s">
        <v>230</v>
      </c>
      <c r="J20" s="6"/>
      <c r="K20" s="6"/>
      <c r="L20" s="6"/>
    </row>
    <row r="21" spans="1:12" x14ac:dyDescent="0.25">
      <c r="A21" s="6" t="s">
        <v>52</v>
      </c>
      <c r="B21" s="6" t="s">
        <v>109</v>
      </c>
      <c r="C21" s="6" t="s">
        <v>129</v>
      </c>
      <c r="D21" s="6" t="s">
        <v>149</v>
      </c>
      <c r="E21" s="6" t="s">
        <v>169</v>
      </c>
      <c r="F21" s="6" t="s">
        <v>188</v>
      </c>
      <c r="G21" s="6" t="s">
        <v>208</v>
      </c>
      <c r="H21" s="6" t="s">
        <v>228</v>
      </c>
      <c r="I21" s="6" t="s">
        <v>229</v>
      </c>
      <c r="J21" s="6"/>
      <c r="K21" s="6"/>
      <c r="L21"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T8"/>
  <sheetViews>
    <sheetView workbookViewId="0">
      <selection activeCell="D4" sqref="D4"/>
    </sheetView>
  </sheetViews>
  <sheetFormatPr defaultRowHeight="15" x14ac:dyDescent="0.25"/>
  <cols>
    <col min="1" max="1" width="16.42578125" customWidth="1"/>
    <col min="2" max="3" width="11.7109375" customWidth="1"/>
    <col min="4" max="4" width="9.42578125" customWidth="1"/>
    <col min="5" max="5" width="5.28515625" customWidth="1"/>
    <col min="6" max="8" width="6.85546875" customWidth="1"/>
  </cols>
  <sheetData>
    <row r="3" spans="1:20" x14ac:dyDescent="0.25">
      <c r="A3" s="14" t="s">
        <v>284</v>
      </c>
      <c r="B3" t="s">
        <v>281</v>
      </c>
      <c r="T3" t="s">
        <v>283</v>
      </c>
    </row>
    <row r="4" spans="1:20" x14ac:dyDescent="0.25">
      <c r="A4" t="s">
        <v>90</v>
      </c>
      <c r="B4" s="17">
        <v>64.72</v>
      </c>
    </row>
    <row r="5" spans="1:20" x14ac:dyDescent="0.25">
      <c r="A5" t="s">
        <v>96</v>
      </c>
      <c r="B5" s="17">
        <v>77.36</v>
      </c>
    </row>
    <row r="6" spans="1:20" x14ac:dyDescent="0.25">
      <c r="A6" t="s">
        <v>103</v>
      </c>
      <c r="B6" s="17">
        <v>117.91</v>
      </c>
    </row>
    <row r="7" spans="1:20" x14ac:dyDescent="0.25">
      <c r="A7" t="s">
        <v>94</v>
      </c>
      <c r="B7" s="17">
        <v>118.13</v>
      </c>
    </row>
    <row r="8" spans="1:20" x14ac:dyDescent="0.25">
      <c r="A8" t="s">
        <v>109</v>
      </c>
      <c r="B8" s="17">
        <v>150.4</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tabSelected="1" workbookViewId="0">
      <selection activeCell="N12" sqref="N12"/>
    </sheetView>
  </sheetViews>
  <sheetFormatPr defaultRowHeight="15" x14ac:dyDescent="0.25"/>
  <cols>
    <col min="1" max="1" width="2.42578125" customWidth="1"/>
  </cols>
  <sheetData/>
  <pageMargins left="0.25" right="0.25" top="0.75" bottom="0.75" header="0.3" footer="0.3"/>
  <pageSetup scale="65"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B1" workbookViewId="0">
      <selection activeCell="P25" sqref="P2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18"/>
  <sheetViews>
    <sheetView workbookViewId="0">
      <selection activeCell="A5" sqref="A5"/>
    </sheetView>
  </sheetViews>
  <sheetFormatPr defaultRowHeight="15" x14ac:dyDescent="0.25"/>
  <cols>
    <col min="1" max="1" width="12.5703125" bestFit="1" customWidth="1"/>
    <col min="2" max="2" width="15.5703125" bestFit="1" customWidth="1"/>
    <col min="3" max="3" width="10.85546875" customWidth="1"/>
    <col min="4" max="4" width="8.28515625" customWidth="1"/>
    <col min="5" max="5" width="9.42578125" customWidth="1"/>
    <col min="6" max="7" width="7" customWidth="1"/>
    <col min="8" max="8" width="10.7109375" bestFit="1" customWidth="1"/>
  </cols>
  <sheetData>
    <row r="3" spans="1:8" x14ac:dyDescent="0.25">
      <c r="A3" s="14" t="s">
        <v>281</v>
      </c>
      <c r="B3" s="14" t="s">
        <v>285</v>
      </c>
    </row>
    <row r="4" spans="1:8" x14ac:dyDescent="0.25">
      <c r="A4" s="14" t="s">
        <v>277</v>
      </c>
      <c r="B4" t="s">
        <v>247</v>
      </c>
      <c r="C4" t="s">
        <v>249</v>
      </c>
      <c r="D4" t="s">
        <v>246</v>
      </c>
      <c r="E4" t="s">
        <v>238</v>
      </c>
      <c r="F4" t="s">
        <v>243</v>
      </c>
      <c r="G4" t="s">
        <v>241</v>
      </c>
      <c r="H4" t="s">
        <v>278</v>
      </c>
    </row>
    <row r="5" spans="1:8" x14ac:dyDescent="0.25">
      <c r="A5" s="15" t="s">
        <v>279</v>
      </c>
      <c r="B5" s="16"/>
      <c r="C5" s="16"/>
      <c r="D5" s="16"/>
      <c r="E5" s="16"/>
      <c r="F5" s="16"/>
      <c r="G5" s="16"/>
      <c r="H5" s="16"/>
    </row>
    <row r="6" spans="1:8" x14ac:dyDescent="0.25">
      <c r="A6" s="19" t="s">
        <v>286</v>
      </c>
      <c r="B6" s="16"/>
      <c r="C6" s="16"/>
      <c r="D6" s="16"/>
      <c r="E6" s="16">
        <v>28.200000000000003</v>
      </c>
      <c r="F6" s="16"/>
      <c r="G6" s="16">
        <v>57.36</v>
      </c>
      <c r="H6" s="16">
        <v>85.56</v>
      </c>
    </row>
    <row r="7" spans="1:8" x14ac:dyDescent="0.25">
      <c r="A7" s="19" t="s">
        <v>287</v>
      </c>
      <c r="B7" s="16">
        <v>28.92</v>
      </c>
      <c r="C7" s="16"/>
      <c r="D7" s="16">
        <v>51.37</v>
      </c>
      <c r="E7" s="16">
        <v>24.88</v>
      </c>
      <c r="F7" s="16">
        <v>56.68</v>
      </c>
      <c r="G7" s="16">
        <v>9.6</v>
      </c>
      <c r="H7" s="16">
        <v>171.45</v>
      </c>
    </row>
    <row r="8" spans="1:8" x14ac:dyDescent="0.25">
      <c r="A8" s="19" t="s">
        <v>288</v>
      </c>
      <c r="B8" s="16">
        <v>39.33</v>
      </c>
      <c r="C8" s="16"/>
      <c r="D8" s="16">
        <v>28.17</v>
      </c>
      <c r="E8" s="16">
        <v>21.16</v>
      </c>
      <c r="F8" s="16"/>
      <c r="G8" s="16"/>
      <c r="H8" s="16">
        <v>88.66</v>
      </c>
    </row>
    <row r="9" spans="1:8" x14ac:dyDescent="0.25">
      <c r="A9" s="19" t="s">
        <v>289</v>
      </c>
      <c r="B9" s="16">
        <v>5.4</v>
      </c>
      <c r="C9" s="16"/>
      <c r="D9" s="16"/>
      <c r="E9" s="16"/>
      <c r="F9" s="16"/>
      <c r="G9" s="16">
        <v>47.400000000000006</v>
      </c>
      <c r="H9" s="16">
        <v>52.800000000000004</v>
      </c>
    </row>
    <row r="10" spans="1:8" x14ac:dyDescent="0.25">
      <c r="A10" s="19" t="s">
        <v>290</v>
      </c>
      <c r="B10" s="16"/>
      <c r="C10" s="16"/>
      <c r="D10" s="16"/>
      <c r="E10" s="16"/>
      <c r="F10" s="16">
        <v>45</v>
      </c>
      <c r="G10" s="16">
        <v>13.25</v>
      </c>
      <c r="H10" s="16">
        <v>58.25</v>
      </c>
    </row>
    <row r="11" spans="1:8" x14ac:dyDescent="0.25">
      <c r="A11" s="19" t="s">
        <v>291</v>
      </c>
      <c r="B11" s="16"/>
      <c r="C11" s="16"/>
      <c r="D11" s="16"/>
      <c r="E11" s="16"/>
      <c r="F11" s="16">
        <v>30</v>
      </c>
      <c r="G11" s="16"/>
      <c r="H11" s="16">
        <v>30</v>
      </c>
    </row>
    <row r="12" spans="1:8" x14ac:dyDescent="0.25">
      <c r="A12" s="15" t="s">
        <v>280</v>
      </c>
      <c r="B12" s="16"/>
      <c r="C12" s="16"/>
      <c r="D12" s="16"/>
      <c r="E12" s="16"/>
      <c r="F12" s="16"/>
      <c r="G12" s="16"/>
      <c r="H12" s="16"/>
    </row>
    <row r="13" spans="1:8" x14ac:dyDescent="0.25">
      <c r="A13" s="19" t="s">
        <v>292</v>
      </c>
      <c r="B13" s="16"/>
      <c r="C13" s="16"/>
      <c r="D13" s="16">
        <v>49.67</v>
      </c>
      <c r="E13" s="16"/>
      <c r="F13" s="16">
        <v>31.14</v>
      </c>
      <c r="G13" s="16">
        <v>42.84</v>
      </c>
      <c r="H13" s="16">
        <v>123.65</v>
      </c>
    </row>
    <row r="14" spans="1:8" x14ac:dyDescent="0.25">
      <c r="A14" s="19" t="s">
        <v>293</v>
      </c>
      <c r="B14" s="16">
        <v>14.46</v>
      </c>
      <c r="C14" s="16">
        <v>35.36</v>
      </c>
      <c r="D14" s="16">
        <v>3.13</v>
      </c>
      <c r="E14" s="16">
        <v>29.160000000000004</v>
      </c>
      <c r="F14" s="16"/>
      <c r="G14" s="16">
        <v>54.4</v>
      </c>
      <c r="H14" s="16">
        <v>136.51000000000002</v>
      </c>
    </row>
    <row r="15" spans="1:8" x14ac:dyDescent="0.25">
      <c r="A15" s="19" t="s">
        <v>294</v>
      </c>
      <c r="B15" s="16">
        <v>48.2</v>
      </c>
      <c r="C15" s="16"/>
      <c r="D15" s="16"/>
      <c r="E15" s="16"/>
      <c r="F15" s="16"/>
      <c r="G15" s="16">
        <v>5.5</v>
      </c>
      <c r="H15" s="16">
        <v>53.7</v>
      </c>
    </row>
    <row r="16" spans="1:8" x14ac:dyDescent="0.25">
      <c r="A16" s="19" t="s">
        <v>295</v>
      </c>
      <c r="B16" s="16"/>
      <c r="C16" s="16">
        <v>35.36</v>
      </c>
      <c r="D16" s="16"/>
      <c r="E16" s="16">
        <v>27.99</v>
      </c>
      <c r="F16" s="16">
        <v>11.22</v>
      </c>
      <c r="G16" s="16"/>
      <c r="H16" s="16">
        <v>74.569999999999993</v>
      </c>
    </row>
    <row r="17" spans="1:8" x14ac:dyDescent="0.25">
      <c r="A17" s="19" t="s">
        <v>296</v>
      </c>
      <c r="B17" s="16"/>
      <c r="C17" s="16"/>
      <c r="D17" s="16">
        <v>38.97</v>
      </c>
      <c r="E17" s="16"/>
      <c r="F17" s="16"/>
      <c r="G17" s="16"/>
      <c r="H17" s="16">
        <v>38.97</v>
      </c>
    </row>
    <row r="18" spans="1:8" x14ac:dyDescent="0.25">
      <c r="A18" s="15" t="s">
        <v>278</v>
      </c>
      <c r="B18" s="16">
        <v>136.31</v>
      </c>
      <c r="C18" s="16">
        <v>70.72</v>
      </c>
      <c r="D18" s="16">
        <v>171.30999999999997</v>
      </c>
      <c r="E18" s="16">
        <v>131.39000000000001</v>
      </c>
      <c r="F18" s="16">
        <v>174.04</v>
      </c>
      <c r="G18" s="16">
        <v>230.35</v>
      </c>
      <c r="H18" s="16">
        <v>914.12000000000012</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0"/>
  <sheetViews>
    <sheetView workbookViewId="0">
      <selection activeCell="A3" sqref="A3"/>
    </sheetView>
  </sheetViews>
  <sheetFormatPr defaultRowHeight="15" x14ac:dyDescent="0.25"/>
  <cols>
    <col min="1" max="1" width="22" bestFit="1" customWidth="1"/>
    <col min="2" max="2" width="11.7109375" bestFit="1" customWidth="1"/>
  </cols>
  <sheetData>
    <row r="3" spans="1:2" x14ac:dyDescent="0.25">
      <c r="A3" s="14" t="s">
        <v>277</v>
      </c>
      <c r="B3" t="s">
        <v>281</v>
      </c>
    </row>
    <row r="4" spans="1:2" x14ac:dyDescent="0.25">
      <c r="A4" s="15" t="s">
        <v>203</v>
      </c>
      <c r="B4" s="16">
        <v>44.12</v>
      </c>
    </row>
    <row r="5" spans="1:2" x14ac:dyDescent="0.25">
      <c r="A5" s="15" t="s">
        <v>195</v>
      </c>
      <c r="B5" s="16">
        <v>42</v>
      </c>
    </row>
    <row r="6" spans="1:2" x14ac:dyDescent="0.25">
      <c r="A6" s="15" t="s">
        <v>190</v>
      </c>
      <c r="B6" s="16">
        <v>9.6</v>
      </c>
    </row>
    <row r="7" spans="1:2" x14ac:dyDescent="0.25">
      <c r="A7" s="15" t="s">
        <v>197</v>
      </c>
      <c r="B7" s="16">
        <v>37.9</v>
      </c>
    </row>
    <row r="8" spans="1:2" x14ac:dyDescent="0.25">
      <c r="A8" s="15" t="s">
        <v>193</v>
      </c>
      <c r="B8" s="16">
        <v>98.36</v>
      </c>
    </row>
    <row r="9" spans="1:2" x14ac:dyDescent="0.25">
      <c r="A9" s="15" t="s">
        <v>198</v>
      </c>
      <c r="B9" s="16">
        <v>39.24</v>
      </c>
    </row>
    <row r="10" spans="1:2" x14ac:dyDescent="0.25">
      <c r="A10" s="15" t="s">
        <v>204</v>
      </c>
      <c r="B10" s="16">
        <v>33.840000000000003</v>
      </c>
    </row>
    <row r="11" spans="1:2" x14ac:dyDescent="0.25">
      <c r="A11" s="15" t="s">
        <v>202</v>
      </c>
      <c r="B11" s="16">
        <v>157.63999999999999</v>
      </c>
    </row>
    <row r="12" spans="1:2" x14ac:dyDescent="0.25">
      <c r="A12" s="15" t="s">
        <v>191</v>
      </c>
      <c r="B12" s="16">
        <v>38.4</v>
      </c>
    </row>
    <row r="13" spans="1:2" x14ac:dyDescent="0.25">
      <c r="A13" s="15" t="s">
        <v>207</v>
      </c>
      <c r="B13" s="16">
        <v>20.73</v>
      </c>
    </row>
    <row r="14" spans="1:2" x14ac:dyDescent="0.25">
      <c r="A14" s="15" t="s">
        <v>208</v>
      </c>
      <c r="B14" s="16">
        <v>150.4</v>
      </c>
    </row>
    <row r="15" spans="1:2" x14ac:dyDescent="0.25">
      <c r="A15" s="15" t="s">
        <v>206</v>
      </c>
      <c r="B15" s="16">
        <v>57.47</v>
      </c>
    </row>
    <row r="16" spans="1:2" x14ac:dyDescent="0.25">
      <c r="A16" s="15" t="s">
        <v>200</v>
      </c>
      <c r="B16" s="16">
        <v>42.660000000000004</v>
      </c>
    </row>
    <row r="17" spans="1:2" x14ac:dyDescent="0.25">
      <c r="A17" s="15" t="s">
        <v>194</v>
      </c>
      <c r="B17" s="16">
        <v>28.92</v>
      </c>
    </row>
    <row r="18" spans="1:2" x14ac:dyDescent="0.25">
      <c r="A18" s="15" t="s">
        <v>189</v>
      </c>
      <c r="B18" s="16">
        <v>64.72</v>
      </c>
    </row>
    <row r="19" spans="1:2" x14ac:dyDescent="0.25">
      <c r="A19" s="15" t="s">
        <v>201</v>
      </c>
      <c r="B19" s="16">
        <v>48.120000000000005</v>
      </c>
    </row>
    <row r="20" spans="1:2" x14ac:dyDescent="0.25">
      <c r="A20" s="15" t="s">
        <v>278</v>
      </c>
      <c r="B20" s="16">
        <v>914.12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12"/>
  <sheetViews>
    <sheetView topLeftCell="A2" zoomScale="96" zoomScaleNormal="250" workbookViewId="0">
      <selection activeCell="N3" sqref="N3"/>
    </sheetView>
  </sheetViews>
  <sheetFormatPr defaultRowHeight="15" x14ac:dyDescent="0.25"/>
  <cols>
    <col min="1" max="1" width="10.28515625" customWidth="1"/>
    <col min="2" max="2" width="21.28515625" customWidth="1"/>
    <col min="3" max="3" width="13.7109375" customWidth="1"/>
    <col min="4" max="4" width="12.42578125" customWidth="1"/>
    <col min="5" max="5" width="10.5703125" customWidth="1"/>
    <col min="6" max="6" width="20" customWidth="1"/>
    <col min="7" max="7" width="32" customWidth="1"/>
    <col min="8" max="8" width="24.5703125" customWidth="1"/>
    <col min="9" max="9" width="13.140625" customWidth="1"/>
    <col min="10" max="10" width="17.42578125" customWidth="1"/>
    <col min="12" max="12" width="11.28515625" customWidth="1"/>
    <col min="14" max="14" width="12.5703125" customWidth="1"/>
    <col min="15" max="15" width="10.7109375" customWidth="1"/>
  </cols>
  <sheetData>
    <row r="1" spans="1:15" x14ac:dyDescent="0.25">
      <c r="A1" s="2" t="s">
        <v>0</v>
      </c>
      <c r="B1" s="12" t="s">
        <v>276</v>
      </c>
      <c r="C1" s="2" t="s">
        <v>1</v>
      </c>
      <c r="D1" s="2" t="s">
        <v>2</v>
      </c>
      <c r="E1" s="2" t="s">
        <v>3</v>
      </c>
      <c r="F1" s="7" t="s">
        <v>231</v>
      </c>
      <c r="G1" s="8" t="s">
        <v>79</v>
      </c>
      <c r="H1" s="9" t="s">
        <v>83</v>
      </c>
      <c r="I1" s="9" t="s">
        <v>271</v>
      </c>
      <c r="J1" s="7" t="s">
        <v>272</v>
      </c>
      <c r="K1" s="9" t="s">
        <v>234</v>
      </c>
      <c r="L1" s="9" t="s">
        <v>273</v>
      </c>
      <c r="M1" s="9" t="s">
        <v>274</v>
      </c>
      <c r="N1" s="18" t="s">
        <v>282</v>
      </c>
    </row>
    <row r="2" spans="1:15" x14ac:dyDescent="0.25">
      <c r="A2" s="5" t="s">
        <v>4</v>
      </c>
      <c r="B2" s="13">
        <v>45764</v>
      </c>
      <c r="C2" s="5" t="s">
        <v>44</v>
      </c>
      <c r="D2" s="5" t="s">
        <v>60</v>
      </c>
      <c r="E2" s="5">
        <v>3</v>
      </c>
      <c r="F2" s="5" t="str">
        <f>VLOOKUP(C2,Customers!A2:B21,2,FALSE)</f>
        <v>Robin Johnson</v>
      </c>
      <c r="G2" t="str">
        <f>INDEX(Customers!C$1:C$21, MATCH(C2, Customers!A$1:A$21, 0))</f>
        <v>rvillanueva@hotmail.com</v>
      </c>
      <c r="H2" s="5" t="str">
        <f>INDEX(Customers!$G$1:$G$21, MATCH(C2,Customers!$A$1:$A$21,0))</f>
        <v>Greenland</v>
      </c>
      <c r="I2" s="5" t="str">
        <f>INDEX(Products!B$2:B$41, MATCH(D2, Products!A$2:A$41, 0))</f>
        <v>Latte</v>
      </c>
      <c r="J2" s="11" t="str">
        <f>INDEX(Products!C$2:C$41, MATCH(D2, Products!A$2:A$41, 0))</f>
        <v>Dark</v>
      </c>
      <c r="K2" s="5" t="str">
        <f>INDEX(Products!D$2:D$41, MATCH(D2, Products!A$2:A$41, 0))</f>
        <v>Medium</v>
      </c>
      <c r="L2" s="5">
        <f>INDEX(Products!E$2:E$41, MATCH(D2, Products!A$2:A$41, 0))</f>
        <v>3.74</v>
      </c>
      <c r="M2" s="5">
        <f>L2*E2</f>
        <v>11.22</v>
      </c>
      <c r="N2" s="5" t="str">
        <f>INDEX(Customers!I$2:I$41, MATCH(C2, Customers!A$2:A$41, 0))</f>
        <v>Yes</v>
      </c>
    </row>
    <row r="3" spans="1:15" x14ac:dyDescent="0.25">
      <c r="A3" s="5" t="s">
        <v>5</v>
      </c>
      <c r="B3" s="13">
        <v>45478</v>
      </c>
      <c r="C3" s="5" t="s">
        <v>45</v>
      </c>
      <c r="D3" s="5" t="s">
        <v>61</v>
      </c>
      <c r="E3" s="5">
        <v>4</v>
      </c>
      <c r="F3" s="5" t="str">
        <f>VLOOKUP(C3,Customers!A3:B22,2,FALSE)</f>
        <v>Joshua Oneal</v>
      </c>
      <c r="G3" t="str">
        <f>INDEX(Customers!C$1:C$21, MATCH(C3, Customers!A$1:A$21, 0))</f>
        <v>hestercharles@jackson-hicks.com</v>
      </c>
      <c r="H3" s="5" t="str">
        <f>INDEX(Customers!$G$1:$G$21, MATCH(C3,Customers!$A$1:$A$21,0))</f>
        <v>Cook Islands</v>
      </c>
      <c r="I3" s="5" t="str">
        <f>INDEX(Products!B$2:B$41, MATCH(D3, Products!A$2:A$41, 0))</f>
        <v>Latte</v>
      </c>
      <c r="J3" s="11" t="str">
        <f>INDEX(Products!C$2:C$41, MATCH(D3, Products!A$2:A$41, 0))</f>
        <v>Dark</v>
      </c>
      <c r="K3" s="5" t="str">
        <f>INDEX(Products!D$2:D$41, MATCH(D3, Products!A$2:A$41, 0))</f>
        <v>Large</v>
      </c>
      <c r="L3" s="5">
        <f>INDEX(Products!E$2:E$41, MATCH(D3, Products!A$2:A$41, 0))</f>
        <v>5</v>
      </c>
      <c r="M3" s="5">
        <f t="shared" ref="M3:M41" si="0">L3*E3</f>
        <v>20</v>
      </c>
      <c r="N3" s="5" t="str">
        <f>INDEX(Customers!I$2:I$41, MATCH(C3, Customers!A$2:A$41, 0))</f>
        <v>Yes</v>
      </c>
    </row>
    <row r="4" spans="1:15" x14ac:dyDescent="0.25">
      <c r="A4" s="5" t="s">
        <v>6</v>
      </c>
      <c r="B4" s="13">
        <v>45502</v>
      </c>
      <c r="C4" s="5" t="s">
        <v>46</v>
      </c>
      <c r="D4" s="5" t="s">
        <v>62</v>
      </c>
      <c r="E4" s="5">
        <v>2</v>
      </c>
      <c r="F4" s="5" t="str">
        <f>VLOOKUP(Customers!A3,Customers!$A$1:$I$21,2,0)</f>
        <v>Amanda Rhodes</v>
      </c>
      <c r="G4" t="str">
        <f>INDEX(Customers!C$1:C$21, MATCH(C4, Customers!A$1:A$21, 0))</f>
        <v>joycemariah@forbes-velasquez.com</v>
      </c>
      <c r="H4" s="5" t="str">
        <f>INDEX(Customers!$G$1:$G$21, MATCH(C4,Customers!$A$1:$A$21,0))</f>
        <v>Cayman Islands</v>
      </c>
      <c r="I4" s="5" t="str">
        <f>INDEX(Products!B$2:B$41, MATCH(D4, Products!A$2:A$41, 0))</f>
        <v>Mocha</v>
      </c>
      <c r="J4" s="11" t="str">
        <f>INDEX(Products!C$2:C$41, MATCH(D4, Products!A$2:A$41, 0))</f>
        <v>Light</v>
      </c>
      <c r="K4" s="5" t="str">
        <f>INDEX(Products!D$2:D$41, MATCH(D4, Products!A$2:A$41, 0))</f>
        <v>Large</v>
      </c>
      <c r="L4" s="5">
        <f>INDEX(Products!E$2:E$41, MATCH(D4, Products!A$2:A$41, 0))</f>
        <v>4.8</v>
      </c>
      <c r="M4" s="5">
        <f t="shared" si="0"/>
        <v>9.6</v>
      </c>
      <c r="N4" s="5" t="str">
        <f>INDEX(Customers!I$2:I$41, MATCH(C4, Customers!A$2:A$41, 0))</f>
        <v>Yes</v>
      </c>
    </row>
    <row r="5" spans="1:15" x14ac:dyDescent="0.25">
      <c r="A5" s="5" t="s">
        <v>7</v>
      </c>
      <c r="B5" s="13">
        <v>45694</v>
      </c>
      <c r="C5" s="5" t="s">
        <v>47</v>
      </c>
      <c r="D5" s="5" t="s">
        <v>63</v>
      </c>
      <c r="E5" s="5">
        <v>1</v>
      </c>
      <c r="F5" s="5" t="str">
        <f>VLOOKUP(Customers!A19,Customers!$A$1:$I$21,2,0)</f>
        <v>Jeffrey Moore</v>
      </c>
      <c r="G5" t="str">
        <f>INDEX(Customers!C$1:C$21, MATCH(C5, Customers!A$1:A$21, 0))</f>
        <v>jessica31@sanchez-young.com</v>
      </c>
      <c r="H5" s="5" t="str">
        <f>INDEX(Customers!$G$1:$G$21, MATCH(C5,Customers!$A$1:$A$21,0))</f>
        <v>Slovenia</v>
      </c>
      <c r="I5" s="5" t="str">
        <f>INDEX(Products!B$2:B$41, MATCH(D5, Products!A$2:A$41, 0))</f>
        <v>Espresso</v>
      </c>
      <c r="J5" s="11" t="str">
        <f>INDEX(Products!C$2:C$41, MATCH(D5, Products!A$2:A$41, 0))</f>
        <v>Light</v>
      </c>
      <c r="K5" s="5" t="str">
        <f>INDEX(Products!D$2:D$41, MATCH(D5, Products!A$2:A$41, 0))</f>
        <v>Small</v>
      </c>
      <c r="L5" s="5">
        <f>INDEX(Products!E$2:E$41, MATCH(D5, Products!A$2:A$41, 0))</f>
        <v>3.13</v>
      </c>
      <c r="M5" s="5">
        <f t="shared" si="0"/>
        <v>3.13</v>
      </c>
      <c r="N5" s="5" t="str">
        <f>INDEX(Customers!I$2:I$41, MATCH(C5, Customers!A$2:A$41, 0))</f>
        <v>No</v>
      </c>
    </row>
    <row r="6" spans="1:15" x14ac:dyDescent="0.25">
      <c r="A6" s="5" t="s">
        <v>8</v>
      </c>
      <c r="B6" s="13">
        <v>45760</v>
      </c>
      <c r="C6" s="5" t="s">
        <v>48</v>
      </c>
      <c r="D6" s="5" t="s">
        <v>64</v>
      </c>
      <c r="E6" s="5">
        <v>9</v>
      </c>
      <c r="F6" s="5" t="str">
        <f>VLOOKUP(Customers!A8,Customers!$A$1:$I$21,2,0)</f>
        <v>Dustin Levy</v>
      </c>
      <c r="G6" t="str">
        <f>INDEX(Customers!C$1:C$21, MATCH(C6, Customers!A$1:A$21, 0))</f>
        <v>plamb@thomas.com</v>
      </c>
      <c r="H6" s="5" t="str">
        <f>INDEX(Customers!$G$1:$G$21, MATCH(C6,Customers!$A$1:$A$21,0))</f>
        <v>Bhutan</v>
      </c>
      <c r="I6" s="5" t="str">
        <f>INDEX(Products!B$2:B$41, MATCH(D6, Products!A$2:A$41, 0))</f>
        <v>Flat White</v>
      </c>
      <c r="J6" s="11" t="str">
        <f>INDEX(Products!C$2:C$41, MATCH(D6, Products!A$2:A$41, 0))</f>
        <v>Dark</v>
      </c>
      <c r="K6" s="5" t="str">
        <f>INDEX(Products!D$2:D$41, MATCH(D6, Products!A$2:A$41, 0))</f>
        <v>Small</v>
      </c>
      <c r="L6" s="5">
        <f>INDEX(Products!E$2:E$41, MATCH(D6, Products!A$2:A$41, 0))</f>
        <v>3.11</v>
      </c>
      <c r="M6" s="5">
        <f t="shared" si="0"/>
        <v>27.99</v>
      </c>
      <c r="N6" s="5" t="str">
        <f>INDEX(Customers!I$2:I$41, MATCH(C6, Customers!A$2:A$41, 0))</f>
        <v>Yes</v>
      </c>
    </row>
    <row r="7" spans="1:15" x14ac:dyDescent="0.25">
      <c r="A7" s="5" t="s">
        <v>9</v>
      </c>
      <c r="B7" s="13">
        <v>45492</v>
      </c>
      <c r="C7" s="5" t="s">
        <v>49</v>
      </c>
      <c r="D7" s="5" t="s">
        <v>65</v>
      </c>
      <c r="E7" s="5">
        <v>8</v>
      </c>
      <c r="F7" s="5" t="str">
        <f>INDEX(Customers!B1:B21, MATCH(C7, Customers!A1:A21, 0))</f>
        <v>Teresa Collins</v>
      </c>
      <c r="G7" t="str">
        <f>INDEX(Customers!C$1:C$21, MATCH(C7, Customers!A$1:A$21, 0))</f>
        <v>carsonkenneth@hotmail.com</v>
      </c>
      <c r="H7" s="5" t="str">
        <f>INDEX(Customers!$G$1:$G$21, MATCH(C7,Customers!$A$1:$A$21,0))</f>
        <v>Anguilla</v>
      </c>
      <c r="I7" s="5" t="str">
        <f>INDEX(Products!B$2:B$41, MATCH(D7, Products!A$2:A$41, 0))</f>
        <v>Espresso</v>
      </c>
      <c r="J7" s="11" t="str">
        <f>INDEX(Products!C$2:C$41, MATCH(D7, Products!A$2:A$41, 0))</f>
        <v>Light</v>
      </c>
      <c r="K7" s="5" t="str">
        <f>INDEX(Products!D$2:D$41, MATCH(D7, Products!A$2:A$41, 0))</f>
        <v>Large</v>
      </c>
      <c r="L7" s="5">
        <f>INDEX(Products!E$2:E$41, MATCH(D7, Products!A$2:A$41, 0))</f>
        <v>4.67</v>
      </c>
      <c r="M7" s="5">
        <f t="shared" si="0"/>
        <v>37.36</v>
      </c>
      <c r="N7" s="5" t="str">
        <f>INDEX(Customers!I$2:I$41, MATCH(C7, Customers!A$2:A$41, 0))</f>
        <v>Yes</v>
      </c>
    </row>
    <row r="8" spans="1:15" x14ac:dyDescent="0.25">
      <c r="A8" s="5" t="s">
        <v>10</v>
      </c>
      <c r="B8" s="13">
        <v>45488</v>
      </c>
      <c r="C8" s="5" t="s">
        <v>48</v>
      </c>
      <c r="D8" s="5" t="s">
        <v>65</v>
      </c>
      <c r="E8" s="5">
        <v>3</v>
      </c>
      <c r="F8" s="5" t="str">
        <f>INDEX(Customers!B2:B22, MATCH(C8, Customers!A2:A22, 0))</f>
        <v>Dustin Levy</v>
      </c>
      <c r="G8" t="str">
        <f>INDEX(Customers!C$1:C$21, MATCH(C8, Customers!A$1:A$21, 0))</f>
        <v>plamb@thomas.com</v>
      </c>
      <c r="H8" s="5" t="str">
        <f>INDEX(Customers!$G$1:$G$21, MATCH(C8,Customers!$A$1:$A$21,0))</f>
        <v>Bhutan</v>
      </c>
      <c r="I8" s="5" t="str">
        <f>INDEX(Products!B$2:B$41, MATCH(D8, Products!A$2:A$41, 0))</f>
        <v>Espresso</v>
      </c>
      <c r="J8" s="11" t="str">
        <f>INDEX(Products!C$2:C$41, MATCH(D8, Products!A$2:A$41, 0))</f>
        <v>Light</v>
      </c>
      <c r="K8" s="5" t="str">
        <f>INDEX(Products!D$2:D$41, MATCH(D8, Products!A$2:A$41, 0))</f>
        <v>Large</v>
      </c>
      <c r="L8" s="5">
        <f>INDEX(Products!E$2:E$41, MATCH(D8, Products!A$2:A$41, 0))</f>
        <v>4.67</v>
      </c>
      <c r="M8" s="5">
        <f t="shared" si="0"/>
        <v>14.01</v>
      </c>
      <c r="N8" s="5" t="str">
        <f>INDEX(Customers!I$2:I$41, MATCH(C8, Customers!A$2:A$41, 0))</f>
        <v>Yes</v>
      </c>
    </row>
    <row r="9" spans="1:15" x14ac:dyDescent="0.25">
      <c r="A9" s="5" t="s">
        <v>11</v>
      </c>
      <c r="B9" s="13">
        <v>45504</v>
      </c>
      <c r="C9" s="5" t="s">
        <v>50</v>
      </c>
      <c r="D9" s="5" t="s">
        <v>66</v>
      </c>
      <c r="E9" s="5">
        <v>6</v>
      </c>
      <c r="F9" s="5" t="str">
        <f>INDEX(Customers!B3:B23, MATCH(C9, Customers!A3:A23, 0))</f>
        <v>Jane Taylor</v>
      </c>
      <c r="G9" t="str">
        <f>INDEX(Customers!C$1:C$21, MATCH(C9, Customers!A$1:A$21, 0))</f>
        <v>egould@navarro.biz</v>
      </c>
      <c r="H9" s="5" t="str">
        <f>INDEX(Customers!$G$1:$G$21, MATCH(C9,Customers!$A$1:$A$21,0))</f>
        <v>Tuvalu</v>
      </c>
      <c r="I9" s="5" t="str">
        <f>INDEX(Products!B$2:B$41, MATCH(D9, Products!A$2:A$41, 0))</f>
        <v>Americano</v>
      </c>
      <c r="J9" s="11" t="str">
        <f>INDEX(Products!C$2:C$41, MATCH(D9, Products!A$2:A$41, 0))</f>
        <v>Medium</v>
      </c>
      <c r="K9" s="5" t="str">
        <f>INDEX(Products!D$2:D$41, MATCH(D9, Products!A$2:A$41, 0))</f>
        <v>Large</v>
      </c>
      <c r="L9" s="5">
        <f>INDEX(Products!E$2:E$41, MATCH(D9, Products!A$2:A$41, 0))</f>
        <v>4.82</v>
      </c>
      <c r="M9" s="5">
        <f t="shared" si="0"/>
        <v>28.92</v>
      </c>
      <c r="N9" s="5" t="str">
        <f>INDEX(Customers!I$2:I$41, MATCH(C9, Customers!A$2:A$41, 0))</f>
        <v>No</v>
      </c>
    </row>
    <row r="10" spans="1:15" x14ac:dyDescent="0.25">
      <c r="A10" s="5" t="s">
        <v>12</v>
      </c>
      <c r="B10" s="13">
        <v>45663</v>
      </c>
      <c r="C10" s="5" t="s">
        <v>51</v>
      </c>
      <c r="D10" s="5" t="s">
        <v>60</v>
      </c>
      <c r="E10" s="5">
        <v>2</v>
      </c>
      <c r="F10" s="5" t="str">
        <f>INDEX(Customers!B4:B24, MATCH(C10, Customers!A4:A24, 0))</f>
        <v>Angie Tucker</v>
      </c>
      <c r="G10" t="str">
        <f>INDEX(Customers!C$1:C$21, MATCH(C10, Customers!A$1:A$21, 0))</f>
        <v>tholland@turner.info</v>
      </c>
      <c r="H10" s="5" t="str">
        <f>INDEX(Customers!$G$1:$G$21, MATCH(C10,Customers!$A$1:$A$21,0))</f>
        <v>Namibia</v>
      </c>
      <c r="I10" s="5" t="str">
        <f>INDEX(Products!B$2:B$41, MATCH(D10, Products!A$2:A$41, 0))</f>
        <v>Latte</v>
      </c>
      <c r="J10" s="11" t="str">
        <f>INDEX(Products!C$2:C$41, MATCH(D10, Products!A$2:A$41, 0))</f>
        <v>Dark</v>
      </c>
      <c r="K10" s="5" t="str">
        <f>INDEX(Products!D$2:D$41, MATCH(D10, Products!A$2:A$41, 0))</f>
        <v>Medium</v>
      </c>
      <c r="L10" s="5">
        <f>INDEX(Products!E$2:E$41, MATCH(D10, Products!A$2:A$41, 0))</f>
        <v>3.74</v>
      </c>
      <c r="M10" s="5">
        <f t="shared" si="0"/>
        <v>7.48</v>
      </c>
      <c r="N10" s="5" t="str">
        <f>INDEX(Customers!I$2:I$41, MATCH(C10, Customers!A$2:A$41, 0))</f>
        <v>Yes</v>
      </c>
    </row>
    <row r="11" spans="1:15" x14ac:dyDescent="0.25">
      <c r="A11" s="5" t="s">
        <v>13</v>
      </c>
      <c r="B11" s="13">
        <v>45572</v>
      </c>
      <c r="C11" s="5" t="s">
        <v>52</v>
      </c>
      <c r="D11" s="5" t="s">
        <v>67</v>
      </c>
      <c r="E11" s="5">
        <v>10</v>
      </c>
      <c r="F11" s="5" t="str">
        <f>INDEX(Customers!B5:B25, MATCH(C11, Customers!A5:A25, 0))</f>
        <v>Natalie Cox</v>
      </c>
      <c r="G11" t="str">
        <f>INDEX(Customers!C$1:C$21, MATCH(C11, Customers!A$1:A$21, 0))</f>
        <v>cervantesgabriela@morgan.net</v>
      </c>
      <c r="H11" s="5" t="str">
        <f>INDEX(Customers!$G$1:$G$21, MATCH(C11,Customers!$A$1:$A$21,0))</f>
        <v>Northern Mariana Islands</v>
      </c>
      <c r="I11" s="5" t="str">
        <f>INDEX(Products!B$2:B$41, MATCH(D11, Products!A$2:A$41, 0))</f>
        <v>Mocha</v>
      </c>
      <c r="J11" s="11" t="str">
        <f>INDEX(Products!C$2:C$41, MATCH(D11, Products!A$2:A$41, 0))</f>
        <v>Medium</v>
      </c>
      <c r="K11" s="5" t="str">
        <f>INDEX(Products!D$2:D$41, MATCH(D11, Products!A$2:A$41, 0))</f>
        <v>Large</v>
      </c>
      <c r="L11" s="5">
        <f>INDEX(Products!E$2:E$41, MATCH(D11, Products!A$2:A$41, 0))</f>
        <v>4.74</v>
      </c>
      <c r="M11" s="5">
        <f t="shared" si="0"/>
        <v>47.400000000000006</v>
      </c>
      <c r="N11" s="5" t="str">
        <f>INDEX(Customers!I$2:I$41, MATCH(C11, Customers!A$2:A$41, 0))</f>
        <v>No</v>
      </c>
      <c r="O11" t="s">
        <v>275</v>
      </c>
    </row>
    <row r="12" spans="1:15" x14ac:dyDescent="0.25">
      <c r="A12" s="5" t="s">
        <v>14</v>
      </c>
      <c r="B12" s="13">
        <v>45517</v>
      </c>
      <c r="C12" s="5" t="s">
        <v>47</v>
      </c>
      <c r="D12" s="5" t="s">
        <v>68</v>
      </c>
      <c r="E12" s="5">
        <v>4</v>
      </c>
      <c r="F12" s="5" t="str">
        <f>INDEX(Customers!B6:B26, MATCH(C12, Customers!A6:A26, 0))</f>
        <v>Jeffrey Moore</v>
      </c>
      <c r="G12" t="str">
        <f>INDEX(Customers!C$1:C$21, MATCH(C12, Customers!A$1:A$21, 0))</f>
        <v>jessica31@sanchez-young.com</v>
      </c>
      <c r="H12" s="5" t="str">
        <f>INDEX(Customers!$G$1:$G$21, MATCH(C12,Customers!$A$1:$A$21,0))</f>
        <v>Slovenia</v>
      </c>
      <c r="I12" s="5" t="str">
        <f>INDEX(Products!B$2:B$41, MATCH(D12, Products!A$2:A$41, 0))</f>
        <v>Flat White</v>
      </c>
      <c r="J12" s="11" t="str">
        <f>INDEX(Products!C$2:C$41, MATCH(D12, Products!A$2:A$41, 0))</f>
        <v>Dark</v>
      </c>
      <c r="K12" s="5" t="str">
        <f>INDEX(Products!D$2:D$41, MATCH(D12, Products!A$2:A$41, 0))</f>
        <v>Large</v>
      </c>
      <c r="L12" s="5">
        <f>INDEX(Products!E$2:E$41, MATCH(D12, Products!A$2:A$41, 0))</f>
        <v>5.29</v>
      </c>
      <c r="M12" s="5">
        <f t="shared" si="0"/>
        <v>21.16</v>
      </c>
      <c r="N12" s="5" t="str">
        <f>INDEX(Customers!I$2:I$41, MATCH(C12, Customers!A$2:A$41, 0))</f>
        <v>No</v>
      </c>
    </row>
    <row r="13" spans="1:15" x14ac:dyDescent="0.25">
      <c r="A13" s="5" t="s">
        <v>15</v>
      </c>
      <c r="B13" s="13">
        <v>45518</v>
      </c>
      <c r="C13" s="5" t="s">
        <v>45</v>
      </c>
      <c r="D13" s="5" t="s">
        <v>63</v>
      </c>
      <c r="E13" s="5">
        <v>3</v>
      </c>
      <c r="F13" s="5" t="str">
        <f>INDEX(Customers!B1:$B$21, MATCH(C7,Customers!A1:$A$21,0))</f>
        <v>Teresa Collins</v>
      </c>
      <c r="G13" t="str">
        <f>INDEX(Customers!C$1:C$21, MATCH(C13, Customers!A$1:A$21, 0))</f>
        <v>hestercharles@jackson-hicks.com</v>
      </c>
      <c r="H13" s="5" t="str">
        <f>INDEX(Customers!$G$1:$G$21, MATCH(C13,Customers!$A$1:$A$21,0))</f>
        <v>Cook Islands</v>
      </c>
      <c r="I13" s="5" t="str">
        <f>INDEX(Products!B$2:B$41, MATCH(D13, Products!A$2:A$41, 0))</f>
        <v>Espresso</v>
      </c>
      <c r="J13" s="11" t="str">
        <f>INDEX(Products!C$2:C$41, MATCH(D13, Products!A$2:A$41, 0))</f>
        <v>Light</v>
      </c>
      <c r="K13" s="5" t="str">
        <f>INDEX(Products!D$2:D$41, MATCH(D13, Products!A$2:A$41, 0))</f>
        <v>Small</v>
      </c>
      <c r="L13" s="5">
        <f>INDEX(Products!E$2:E$41, MATCH(D13, Products!A$2:A$41, 0))</f>
        <v>3.13</v>
      </c>
      <c r="M13" s="5">
        <f t="shared" si="0"/>
        <v>9.39</v>
      </c>
      <c r="N13" s="5" t="str">
        <f>INDEX(Customers!I$2:I$41, MATCH(C13, Customers!A$2:A$41, 0))</f>
        <v>Yes</v>
      </c>
    </row>
    <row r="14" spans="1:15" x14ac:dyDescent="0.25">
      <c r="A14" s="5" t="s">
        <v>16</v>
      </c>
      <c r="B14" s="13">
        <v>45577</v>
      </c>
      <c r="C14" s="5" t="s">
        <v>53</v>
      </c>
      <c r="D14" s="5" t="s">
        <v>69</v>
      </c>
      <c r="E14" s="5">
        <v>1</v>
      </c>
      <c r="F14" s="5" t="str">
        <f>INDEX(Customers!B8:B28, MATCH(C14, Customers!A8:A28, 0))</f>
        <v>Megan Rice</v>
      </c>
      <c r="G14" t="str">
        <f>INDEX(Customers!C$1:C$21, MATCH(C14, Customers!A$1:A$21, 0))</f>
        <v>bakerjuan@hotmail.com</v>
      </c>
      <c r="H14" s="5" t="str">
        <f>INDEX(Customers!$G$1:$G$21, MATCH(C14,Customers!$A$1:$A$21,0))</f>
        <v>Moldova</v>
      </c>
      <c r="I14" s="5" t="str">
        <f>INDEX(Products!B$2:B$41, MATCH(D14, Products!A$2:A$41, 0))</f>
        <v>Americano</v>
      </c>
      <c r="J14" s="11" t="str">
        <f>INDEX(Products!C$2:C$41, MATCH(D14, Products!A$2:A$41, 0))</f>
        <v>Light</v>
      </c>
      <c r="K14" s="5" t="str">
        <f>INDEX(Products!D$2:D$41, MATCH(D14, Products!A$2:A$41, 0))</f>
        <v>Large</v>
      </c>
      <c r="L14" s="5">
        <f>INDEX(Products!E$2:E$41, MATCH(D14, Products!A$2:A$41, 0))</f>
        <v>5.4</v>
      </c>
      <c r="M14" s="5">
        <f t="shared" si="0"/>
        <v>5.4</v>
      </c>
      <c r="N14" s="5" t="str">
        <f>INDEX(Customers!I$2:I$41, MATCH(C14, Customers!A$2:A$41, 0))</f>
        <v>Yes</v>
      </c>
    </row>
    <row r="15" spans="1:15" x14ac:dyDescent="0.25">
      <c r="A15" s="5" t="s">
        <v>17</v>
      </c>
      <c r="B15" s="13">
        <v>45642</v>
      </c>
      <c r="C15" s="5" t="s">
        <v>45</v>
      </c>
      <c r="D15" s="5" t="s">
        <v>61</v>
      </c>
      <c r="E15" s="5">
        <v>6</v>
      </c>
      <c r="F15" s="5" t="str">
        <f>INDEX(Customers!$B$1:$B$21, MATCH(C15,Customers!$A$1:$A$21,0))</f>
        <v>Joshua Oneal</v>
      </c>
      <c r="G15" t="str">
        <f>INDEX(Customers!C$1:C$21, MATCH(C15, Customers!A$1:A$21, 0))</f>
        <v>hestercharles@jackson-hicks.com</v>
      </c>
      <c r="H15" s="5" t="str">
        <f>INDEX(Customers!$G$1:$G$21, MATCH(C15,Customers!$A$1:$A$21,0))</f>
        <v>Cook Islands</v>
      </c>
      <c r="I15" s="5" t="str">
        <f>INDEX(Products!B$2:B$41, MATCH(D15, Products!A$2:A$41, 0))</f>
        <v>Latte</v>
      </c>
      <c r="J15" s="11" t="str">
        <f>INDEX(Products!C$2:C$41, MATCH(D15, Products!A$2:A$41, 0))</f>
        <v>Dark</v>
      </c>
      <c r="K15" s="5" t="str">
        <f>INDEX(Products!D$2:D$41, MATCH(D15, Products!A$2:A$41, 0))</f>
        <v>Large</v>
      </c>
      <c r="L15" s="5">
        <f>INDEX(Products!E$2:E$41, MATCH(D15, Products!A$2:A$41, 0))</f>
        <v>5</v>
      </c>
      <c r="M15" s="5">
        <f t="shared" si="0"/>
        <v>30</v>
      </c>
      <c r="N15" s="5" t="str">
        <f>INDEX(Customers!I$2:I$41, MATCH(C15, Customers!A$2:A$41, 0))</f>
        <v>Yes</v>
      </c>
    </row>
    <row r="16" spans="1:15" x14ac:dyDescent="0.25">
      <c r="A16" s="5" t="s">
        <v>18</v>
      </c>
      <c r="B16" s="13">
        <v>45691</v>
      </c>
      <c r="C16" s="5" t="s">
        <v>54</v>
      </c>
      <c r="D16" s="5" t="s">
        <v>70</v>
      </c>
      <c r="E16" s="5">
        <v>6</v>
      </c>
      <c r="F16" s="5" t="str">
        <f>INDEX(Customers!B10:B30, MATCH(C16, Customers!A10:A30, 0))</f>
        <v>Timothy Anderson</v>
      </c>
      <c r="G16" t="str">
        <f>INDEX(Customers!C$1:C$21, MATCH(C16, Customers!A$1:A$21, 0))</f>
        <v>ucunningham@webb.com</v>
      </c>
      <c r="H16" s="5" t="str">
        <f>INDEX(Customers!$G$1:$G$21, MATCH(C16,Customers!$A$1:$A$21,0))</f>
        <v>Montenegro</v>
      </c>
      <c r="I16" s="5" t="str">
        <f>INDEX(Products!B$2:B$41, MATCH(D16, Products!A$2:A$41, 0))</f>
        <v>Mocha</v>
      </c>
      <c r="J16" s="11" t="str">
        <f>INDEX(Products!C$2:C$41, MATCH(D16, Products!A$2:A$41, 0))</f>
        <v>Dark</v>
      </c>
      <c r="K16" s="5" t="str">
        <f>INDEX(Products!D$2:D$41, MATCH(D16, Products!A$2:A$41, 0))</f>
        <v>Small</v>
      </c>
      <c r="L16" s="5">
        <f>INDEX(Products!E$2:E$41, MATCH(D16, Products!A$2:A$41, 0))</f>
        <v>2.65</v>
      </c>
      <c r="M16" s="5">
        <f t="shared" si="0"/>
        <v>15.899999999999999</v>
      </c>
      <c r="N16" s="5" t="str">
        <f>INDEX(Customers!I$2:I$41, MATCH(C16, Customers!A$2:A$41, 0))</f>
        <v>No</v>
      </c>
    </row>
    <row r="17" spans="1:14" x14ac:dyDescent="0.25">
      <c r="A17" s="5" t="s">
        <v>19</v>
      </c>
      <c r="B17" s="13">
        <v>45485</v>
      </c>
      <c r="C17" s="5" t="s">
        <v>52</v>
      </c>
      <c r="D17" s="5" t="s">
        <v>60</v>
      </c>
      <c r="E17" s="5">
        <v>8</v>
      </c>
      <c r="F17" s="5" t="str">
        <f>INDEX(Customers!B11:B31, MATCH(C17, Customers!A11:A31, 0))</f>
        <v>Natalie Cox</v>
      </c>
      <c r="G17" t="str">
        <f>INDEX(Customers!C$1:C$21, MATCH(C17, Customers!A$1:A$21, 0))</f>
        <v>cervantesgabriela@morgan.net</v>
      </c>
      <c r="H17" s="5" t="str">
        <f>INDEX(Customers!$G$1:$G$21, MATCH(C17,Customers!$A$1:$A$21,0))</f>
        <v>Northern Mariana Islands</v>
      </c>
      <c r="I17" s="5" t="str">
        <f>INDEX(Products!B$2:B$41, MATCH(D17, Products!A$2:A$41, 0))</f>
        <v>Latte</v>
      </c>
      <c r="J17" s="11" t="str">
        <f>INDEX(Products!C$2:C$41, MATCH(D17, Products!A$2:A$41, 0))</f>
        <v>Dark</v>
      </c>
      <c r="K17" s="5" t="str">
        <f>INDEX(Products!D$2:D$41, MATCH(D17, Products!A$2:A$41, 0))</f>
        <v>Medium</v>
      </c>
      <c r="L17" s="5">
        <f>INDEX(Products!E$2:E$41, MATCH(D17, Products!A$2:A$41, 0))</f>
        <v>3.74</v>
      </c>
      <c r="M17" s="5">
        <f t="shared" si="0"/>
        <v>29.92</v>
      </c>
      <c r="N17" s="5" t="str">
        <f>INDEX(Customers!I$2:I$41, MATCH(C17, Customers!A$2:A$41, 0))</f>
        <v>No</v>
      </c>
    </row>
    <row r="18" spans="1:14" x14ac:dyDescent="0.25">
      <c r="A18" s="5" t="s">
        <v>20</v>
      </c>
      <c r="B18" s="13">
        <v>45692</v>
      </c>
      <c r="C18" s="5" t="s">
        <v>54</v>
      </c>
      <c r="D18" s="5" t="s">
        <v>71</v>
      </c>
      <c r="E18" s="5">
        <v>8</v>
      </c>
      <c r="F18" s="5" t="str">
        <f>INDEX(Customers!B12:B32, MATCH(C18, Customers!A12:A32, 0))</f>
        <v>Timothy Anderson</v>
      </c>
      <c r="G18" t="str">
        <f>INDEX(Customers!C$1:C$21, MATCH(C18, Customers!A$1:A$21, 0))</f>
        <v>ucunningham@webb.com</v>
      </c>
      <c r="H18" s="5" t="str">
        <f>INDEX(Customers!$G$1:$G$21, MATCH(C18,Customers!$A$1:$A$21,0))</f>
        <v>Montenegro</v>
      </c>
      <c r="I18" s="5" t="str">
        <f>INDEX(Products!B$2:B$41, MATCH(D18, Products!A$2:A$41, 0))</f>
        <v>Cappuccino</v>
      </c>
      <c r="J18" s="11" t="str">
        <f>INDEX(Products!C$2:C$41, MATCH(D18, Products!A$2:A$41, 0))</f>
        <v>Medium</v>
      </c>
      <c r="K18" s="5" t="str">
        <f>INDEX(Products!D$2:D$41, MATCH(D18, Products!A$2:A$41, 0))</f>
        <v>Medium</v>
      </c>
      <c r="L18" s="5">
        <f>INDEX(Products!E$2:E$41, MATCH(D18, Products!A$2:A$41, 0))</f>
        <v>4.42</v>
      </c>
      <c r="M18" s="5">
        <f t="shared" si="0"/>
        <v>35.36</v>
      </c>
      <c r="N18" s="5" t="str">
        <f>INDEX(Customers!I$2:I$41, MATCH(C18, Customers!A$2:A$41, 0))</f>
        <v>No</v>
      </c>
    </row>
    <row r="19" spans="1:14" x14ac:dyDescent="0.25">
      <c r="A19" s="5" t="s">
        <v>21</v>
      </c>
      <c r="B19" s="13">
        <v>45533</v>
      </c>
      <c r="C19" s="5" t="s">
        <v>47</v>
      </c>
      <c r="D19" s="5" t="s">
        <v>63</v>
      </c>
      <c r="E19" s="5">
        <v>6</v>
      </c>
      <c r="F19" s="5" t="str">
        <f>INDEX(Customers!B13:B33, MATCH(C19, Customers!A13:A33, 0))</f>
        <v>Jeffrey Moore</v>
      </c>
      <c r="G19" t="str">
        <f>INDEX(Customers!C$1:C$21, MATCH(C19, Customers!A$1:A$21, 0))</f>
        <v>jessica31@sanchez-young.com</v>
      </c>
      <c r="H19" s="5" t="str">
        <f>INDEX(Customers!$G$1:$G$21, MATCH(C19,Customers!$A$1:$A$21,0))</f>
        <v>Slovenia</v>
      </c>
      <c r="I19" s="5" t="str">
        <f>INDEX(Products!B$2:B$41, MATCH(D19, Products!A$2:A$41, 0))</f>
        <v>Espresso</v>
      </c>
      <c r="J19" s="11" t="str">
        <f>INDEX(Products!C$2:C$41, MATCH(D19, Products!A$2:A$41, 0))</f>
        <v>Light</v>
      </c>
      <c r="K19" s="5" t="str">
        <f>INDEX(Products!D$2:D$41, MATCH(D19, Products!A$2:A$41, 0))</f>
        <v>Small</v>
      </c>
      <c r="L19" s="5">
        <f>INDEX(Products!E$2:E$41, MATCH(D19, Products!A$2:A$41, 0))</f>
        <v>3.13</v>
      </c>
      <c r="M19" s="5">
        <f t="shared" si="0"/>
        <v>18.78</v>
      </c>
      <c r="N19" s="5" t="str">
        <f>INDEX(Customers!I$2:I$41, MATCH(C19, Customers!A$2:A$41, 0))</f>
        <v>No</v>
      </c>
    </row>
    <row r="20" spans="1:14" x14ac:dyDescent="0.25">
      <c r="A20" s="5" t="s">
        <v>22</v>
      </c>
      <c r="B20" s="13">
        <v>45499</v>
      </c>
      <c r="C20" s="5" t="s">
        <v>49</v>
      </c>
      <c r="D20" s="5" t="s">
        <v>72</v>
      </c>
      <c r="E20" s="5">
        <v>2</v>
      </c>
      <c r="F20" s="5" t="str">
        <f>INDEX(Customers!B14:B34, MATCH(C20, Customers!A14:A34, 0))</f>
        <v>Teresa Collins</v>
      </c>
      <c r="G20" t="str">
        <f>INDEX(Customers!C$1:C$21, MATCH(C20, Customers!A$1:A$21, 0))</f>
        <v>carsonkenneth@hotmail.com</v>
      </c>
      <c r="H20" s="5" t="str">
        <f>INDEX(Customers!$G$1:$G$21, MATCH(C20,Customers!$A$1:$A$21,0))</f>
        <v>Anguilla</v>
      </c>
      <c r="I20" s="5" t="str">
        <f>INDEX(Products!B$2:B$41, MATCH(D20, Products!A$2:A$41, 0))</f>
        <v>Latte</v>
      </c>
      <c r="J20" s="11" t="str">
        <f>INDEX(Products!C$2:C$41, MATCH(D20, Products!A$2:A$41, 0))</f>
        <v>Light</v>
      </c>
      <c r="K20" s="5" t="str">
        <f>INDEX(Products!D$2:D$41, MATCH(D20, Products!A$2:A$41, 0))</f>
        <v>Small</v>
      </c>
      <c r="L20" s="5">
        <f>INDEX(Products!E$2:E$41, MATCH(D20, Products!A$2:A$41, 0))</f>
        <v>3.38</v>
      </c>
      <c r="M20" s="5">
        <f t="shared" si="0"/>
        <v>6.76</v>
      </c>
      <c r="N20" s="5" t="str">
        <f>INDEX(Customers!I$2:I$41, MATCH(C20, Customers!A$2:A$41, 0))</f>
        <v>Yes</v>
      </c>
    </row>
    <row r="21" spans="1:14" x14ac:dyDescent="0.25">
      <c r="A21" s="5" t="s">
        <v>23</v>
      </c>
      <c r="B21" s="13">
        <v>45687</v>
      </c>
      <c r="C21" s="5" t="s">
        <v>54</v>
      </c>
      <c r="D21" s="5" t="s">
        <v>73</v>
      </c>
      <c r="E21" s="5">
        <v>5</v>
      </c>
      <c r="F21" s="5" t="str">
        <f>INDEX(Customers!B15:B35, MATCH(C21, Customers!A15:A35, 0))</f>
        <v>Timothy Anderson</v>
      </c>
      <c r="G21" t="str">
        <f>INDEX(Customers!C$1:C$21, MATCH(C21, Customers!A$1:A$21, 0))</f>
        <v>ucunningham@webb.com</v>
      </c>
      <c r="H21" s="5" t="str">
        <f>INDEX(Customers!$G$1:$G$21, MATCH(C21,Customers!$A$1:$A$21,0))</f>
        <v>Montenegro</v>
      </c>
      <c r="I21" s="5" t="str">
        <f>INDEX(Products!B$2:B$41, MATCH(D21, Products!A$2:A$41, 0))</f>
        <v>Espresso</v>
      </c>
      <c r="J21" s="11" t="str">
        <f>INDEX(Products!C$2:C$41, MATCH(D21, Products!A$2:A$41, 0))</f>
        <v>Medium</v>
      </c>
      <c r="K21" s="5" t="str">
        <f>INDEX(Products!D$2:D$41, MATCH(D21, Products!A$2:A$41, 0))</f>
        <v>Medium</v>
      </c>
      <c r="L21" s="5">
        <f>INDEX(Products!E$2:E$41, MATCH(D21, Products!A$2:A$41, 0))</f>
        <v>4.33</v>
      </c>
      <c r="M21" s="5">
        <f t="shared" si="0"/>
        <v>21.65</v>
      </c>
      <c r="N21" s="5" t="str">
        <f>INDEX(Customers!I$2:I$41, MATCH(C21, Customers!A$2:A$41, 0))</f>
        <v>No</v>
      </c>
    </row>
    <row r="22" spans="1:14" x14ac:dyDescent="0.25">
      <c r="A22" s="5" t="s">
        <v>24</v>
      </c>
      <c r="B22" s="13">
        <v>45503</v>
      </c>
      <c r="C22" s="5" t="s">
        <v>52</v>
      </c>
      <c r="D22" s="5" t="s">
        <v>64</v>
      </c>
      <c r="E22" s="5">
        <v>8</v>
      </c>
      <c r="F22" s="5" t="str">
        <f>INDEX(Customers!B16:B36, MATCH(C22, Customers!A16:A36, 0))</f>
        <v>Natalie Cox</v>
      </c>
      <c r="G22" t="str">
        <f>INDEX(Customers!C$1:C$21, MATCH(C22, Customers!A$1:A$21, 0))</f>
        <v>cervantesgabriela@morgan.net</v>
      </c>
      <c r="H22" s="5" t="str">
        <f>INDEX(Customers!$G$1:$G$21, MATCH(C22,Customers!$A$1:$A$21,0))</f>
        <v>Northern Mariana Islands</v>
      </c>
      <c r="I22" s="5" t="str">
        <f>INDEX(Products!B$2:B$41, MATCH(D22, Products!A$2:A$41, 0))</f>
        <v>Flat White</v>
      </c>
      <c r="J22" s="11" t="str">
        <f>INDEX(Products!C$2:C$41, MATCH(D22, Products!A$2:A$41, 0))</f>
        <v>Dark</v>
      </c>
      <c r="K22" s="5" t="str">
        <f>INDEX(Products!D$2:D$41, MATCH(D22, Products!A$2:A$41, 0))</f>
        <v>Small</v>
      </c>
      <c r="L22" s="5">
        <f>INDEX(Products!E$2:E$41, MATCH(D22, Products!A$2:A$41, 0))</f>
        <v>3.11</v>
      </c>
      <c r="M22" s="5">
        <f t="shared" si="0"/>
        <v>24.88</v>
      </c>
      <c r="N22" s="5" t="str">
        <f>INDEX(Customers!I$2:I$41, MATCH(C22, Customers!A$2:A$41, 0))</f>
        <v>No</v>
      </c>
    </row>
    <row r="23" spans="1:14" x14ac:dyDescent="0.25">
      <c r="A23" s="5" t="s">
        <v>25</v>
      </c>
      <c r="B23" s="13">
        <v>45452</v>
      </c>
      <c r="C23" s="5" t="s">
        <v>55</v>
      </c>
      <c r="D23" s="5" t="s">
        <v>62</v>
      </c>
      <c r="E23" s="5">
        <v>8</v>
      </c>
      <c r="F23" s="5" t="str">
        <f>INDEX(Customers!B$1:B$21, MATCH(C23, Customers!A$1:A$21, 0))</f>
        <v>Carolyn Howard</v>
      </c>
      <c r="G23" t="str">
        <f>INDEX(Customers!C$1:C$21, MATCH(C23, Customers!A$1:A$21, 0))</f>
        <v>scott42@thompson-friedman.org</v>
      </c>
      <c r="H23" s="5" t="str">
        <f>INDEX(Customers!$G$1:$G$21, MATCH(C23,Customers!$A$1:$A$21,0))</f>
        <v>Montserrat</v>
      </c>
      <c r="I23" s="5" t="str">
        <f>INDEX(Products!B$2:B$41, MATCH(D23, Products!A$2:A$41, 0))</f>
        <v>Mocha</v>
      </c>
      <c r="J23" s="11" t="str">
        <f>INDEX(Products!C$2:C$41, MATCH(D23, Products!A$2:A$41, 0))</f>
        <v>Light</v>
      </c>
      <c r="K23" s="5" t="str">
        <f>INDEX(Products!D$2:D$41, MATCH(D23, Products!A$2:A$41, 0))</f>
        <v>Large</v>
      </c>
      <c r="L23" s="5">
        <f>INDEX(Products!E$2:E$41, MATCH(D23, Products!A$2:A$41, 0))</f>
        <v>4.8</v>
      </c>
      <c r="M23" s="5">
        <f t="shared" si="0"/>
        <v>38.4</v>
      </c>
      <c r="N23" s="5" t="str">
        <f>INDEX(Customers!I$2:I$41, MATCH(C23, Customers!A$2:A$41, 0))</f>
        <v>Yes</v>
      </c>
    </row>
    <row r="24" spans="1:14" x14ac:dyDescent="0.25">
      <c r="A24" s="5" t="s">
        <v>26</v>
      </c>
      <c r="B24" s="13">
        <v>45616</v>
      </c>
      <c r="C24" s="5" t="s">
        <v>51</v>
      </c>
      <c r="D24" s="5" t="s">
        <v>70</v>
      </c>
      <c r="E24" s="5">
        <v>5</v>
      </c>
      <c r="F24" s="5" t="str">
        <f>INDEX(Customers!B18:B38, MATCH(C24, Customers!A18:A38, 0))</f>
        <v>Angie Tucker</v>
      </c>
      <c r="G24" t="str">
        <f>INDEX(Customers!C$1:C$21, MATCH(C24, Customers!A$1:A$21, 0))</f>
        <v>tholland@turner.info</v>
      </c>
      <c r="H24" s="5" t="str">
        <f>INDEX(Customers!$G$1:$G$21, MATCH(C24,Customers!$A$1:$A$21,0))</f>
        <v>Namibia</v>
      </c>
      <c r="I24" s="5" t="str">
        <f>INDEX(Products!B$2:B$41, MATCH(D24, Products!A$2:A$41, 0))</f>
        <v>Mocha</v>
      </c>
      <c r="J24" s="11" t="str">
        <f>INDEX(Products!C$2:C$41, MATCH(D24, Products!A$2:A$41, 0))</f>
        <v>Dark</v>
      </c>
      <c r="K24" s="5" t="str">
        <f>INDEX(Products!D$2:D$41, MATCH(D24, Products!A$2:A$41, 0))</f>
        <v>Small</v>
      </c>
      <c r="L24" s="5">
        <f>INDEX(Products!E$2:E$41, MATCH(D24, Products!A$2:A$41, 0))</f>
        <v>2.65</v>
      </c>
      <c r="M24" s="5">
        <f t="shared" si="0"/>
        <v>13.25</v>
      </c>
      <c r="N24" s="5" t="str">
        <f>INDEX(Customers!I$2:I$41, MATCH(C24, Customers!A$2:A$41, 0))</f>
        <v>Yes</v>
      </c>
    </row>
    <row r="25" spans="1:14" x14ac:dyDescent="0.25">
      <c r="A25" s="5" t="s">
        <v>27</v>
      </c>
      <c r="B25" s="13">
        <v>45518</v>
      </c>
      <c r="C25" s="5" t="s">
        <v>56</v>
      </c>
      <c r="D25" s="5" t="s">
        <v>74</v>
      </c>
      <c r="E25" s="5">
        <v>6</v>
      </c>
      <c r="F25" s="5" t="str">
        <f>INDEX(Customers!$B$1:$B$21,MATCH(owner!C25,Customers!A1:A21,0))</f>
        <v>Jennifer Rodriguez</v>
      </c>
      <c r="G25" t="str">
        <f>INDEX(Customers!C$1:C$21, MATCH(C25, Customers!A$1:A$21, 0))</f>
        <v>tiffany38@hernandez-palmer.com</v>
      </c>
      <c r="H25" s="5" t="str">
        <f>INDEX(Customers!$G$1:$G$21, MATCH(C25,Customers!$A$1:$A$21,0))</f>
        <v>Uruguay</v>
      </c>
      <c r="I25" s="5" t="str">
        <f>INDEX(Products!B$2:B$41, MATCH(D25, Products!A$2:A$41, 0))</f>
        <v>Americano</v>
      </c>
      <c r="J25" s="11" t="str">
        <f>INDEX(Products!C$2:C$41, MATCH(D25, Products!A$2:A$41, 0))</f>
        <v>Dark</v>
      </c>
      <c r="K25" s="5" t="str">
        <f>INDEX(Products!D$2:D$41, MATCH(D25, Products!A$2:A$41, 0))</f>
        <v>Medium</v>
      </c>
      <c r="L25" s="5">
        <f>INDEX(Products!E$2:E$41, MATCH(D25, Products!A$2:A$41, 0))</f>
        <v>4.37</v>
      </c>
      <c r="M25" s="5">
        <f t="shared" si="0"/>
        <v>26.22</v>
      </c>
      <c r="N25" s="5" t="str">
        <f>INDEX(Customers!I$2:I$41, MATCH(C25, Customers!A$2:A$41, 0))</f>
        <v>No</v>
      </c>
    </row>
    <row r="26" spans="1:14" x14ac:dyDescent="0.25">
      <c r="A26" s="5" t="s">
        <v>28</v>
      </c>
      <c r="B26" s="13">
        <v>45463</v>
      </c>
      <c r="C26" s="5" t="s">
        <v>57</v>
      </c>
      <c r="D26" s="5" t="s">
        <v>67</v>
      </c>
      <c r="E26" s="5">
        <v>4</v>
      </c>
      <c r="F26" s="5" t="str">
        <f>INDEX(Customers!$B$1:$B$21,MATCH(owner!C26,Customers!A2:A22,0))</f>
        <v>Billy Chan</v>
      </c>
      <c r="G26" t="str">
        <f>INDEX(Customers!C$1:C$21, MATCH(C26, Customers!A$1:A$21, 0))</f>
        <v>gregory16@murphy.com</v>
      </c>
      <c r="H26" s="5" t="str">
        <f>INDEX(Customers!$G$1:$G$21, MATCH(C26,Customers!$A$1:$A$21,0))</f>
        <v>Zambia</v>
      </c>
      <c r="I26" s="5" t="str">
        <f>INDEX(Products!B$2:B$41, MATCH(D26, Products!A$2:A$41, 0))</f>
        <v>Mocha</v>
      </c>
      <c r="J26" s="11" t="str">
        <f>INDEX(Products!C$2:C$41, MATCH(D26, Products!A$2:A$41, 0))</f>
        <v>Medium</v>
      </c>
      <c r="K26" s="5" t="str">
        <f>INDEX(Products!D$2:D$41, MATCH(D26, Products!A$2:A$41, 0))</f>
        <v>Large</v>
      </c>
      <c r="L26" s="5">
        <f>INDEX(Products!E$2:E$41, MATCH(D26, Products!A$2:A$41, 0))</f>
        <v>4.74</v>
      </c>
      <c r="M26" s="5">
        <f t="shared" si="0"/>
        <v>18.96</v>
      </c>
      <c r="N26" s="5" t="str">
        <f>INDEX(Customers!I$2:I$41, MATCH(C26, Customers!A$2:A$41, 0))</f>
        <v>Yes</v>
      </c>
    </row>
    <row r="27" spans="1:14" x14ac:dyDescent="0.25">
      <c r="A27" s="5" t="s">
        <v>29</v>
      </c>
      <c r="B27" s="13">
        <v>45668</v>
      </c>
      <c r="C27" s="5" t="s">
        <v>44</v>
      </c>
      <c r="D27" s="5" t="s">
        <v>65</v>
      </c>
      <c r="E27" s="5">
        <v>6</v>
      </c>
      <c r="F27" s="5" t="str">
        <f>INDEX(Customers!$B$1:$B$21,MATCH(owner!C27,Customers!A3:A23,0))</f>
        <v>Sarah Johnson</v>
      </c>
      <c r="G27" t="str">
        <f>INDEX(Customers!C$1:C$21, MATCH(C27, Customers!A$1:A$21, 0))</f>
        <v>rvillanueva@hotmail.com</v>
      </c>
      <c r="H27" s="5" t="str">
        <f>INDEX(Customers!$G$1:$G$21, MATCH(C27,Customers!$A$1:$A$21,0))</f>
        <v>Greenland</v>
      </c>
      <c r="I27" s="5" t="str">
        <f>INDEX(Products!B$2:B$41, MATCH(D27, Products!A$2:A$41, 0))</f>
        <v>Espresso</v>
      </c>
      <c r="J27" s="11" t="str">
        <f>INDEX(Products!C$2:C$41, MATCH(D27, Products!A$2:A$41, 0))</f>
        <v>Light</v>
      </c>
      <c r="K27" s="5" t="str">
        <f>INDEX(Products!D$2:D$41, MATCH(D27, Products!A$2:A$41, 0))</f>
        <v>Large</v>
      </c>
      <c r="L27" s="5">
        <f>INDEX(Products!E$2:E$41, MATCH(D27, Products!A$2:A$41, 0))</f>
        <v>4.67</v>
      </c>
      <c r="M27" s="5">
        <f t="shared" si="0"/>
        <v>28.02</v>
      </c>
      <c r="N27" s="5" t="str">
        <f>INDEX(Customers!I$2:I$41, MATCH(C27, Customers!A$2:A$41, 0))</f>
        <v>Yes</v>
      </c>
    </row>
    <row r="28" spans="1:14" x14ac:dyDescent="0.25">
      <c r="A28" s="5" t="s">
        <v>30</v>
      </c>
      <c r="B28" s="13">
        <v>45709</v>
      </c>
      <c r="C28" s="5" t="s">
        <v>58</v>
      </c>
      <c r="D28" s="5" t="s">
        <v>66</v>
      </c>
      <c r="E28" s="5">
        <v>3</v>
      </c>
      <c r="F28" s="5" t="str">
        <f>INDEX(Customers!$B$1:$B$21,MATCH(owner!C28,Customers!A4:A24,0))</f>
        <v>Ashley Guerrero</v>
      </c>
      <c r="G28" t="str">
        <f>INDEX(Customers!C$1:C$21, MATCH(C28, Customers!A$1:A$21, 0))</f>
        <v>jonathandavis@yahoo.com</v>
      </c>
      <c r="H28" s="5" t="str">
        <f>INDEX(Customers!$G$1:$G$21, MATCH(C28,Customers!$A$1:$A$21,0))</f>
        <v>Turks and Caicos Islands</v>
      </c>
      <c r="I28" s="5" t="str">
        <f>INDEX(Products!B$2:B$41, MATCH(D28, Products!A$2:A$41, 0))</f>
        <v>Americano</v>
      </c>
      <c r="J28" s="11" t="str">
        <f>INDEX(Products!C$2:C$41, MATCH(D28, Products!A$2:A$41, 0))</f>
        <v>Medium</v>
      </c>
      <c r="K28" s="5" t="str">
        <f>INDEX(Products!D$2:D$41, MATCH(D28, Products!A$2:A$41, 0))</f>
        <v>Large</v>
      </c>
      <c r="L28" s="5">
        <f>INDEX(Products!E$2:E$41, MATCH(D28, Products!A$2:A$41, 0))</f>
        <v>4.82</v>
      </c>
      <c r="M28" s="5">
        <f t="shared" si="0"/>
        <v>14.46</v>
      </c>
      <c r="N28" s="5" t="str">
        <f>INDEX(Customers!I$2:I$41, MATCH(C28, Customers!A$2:A$41, 0))</f>
        <v>No</v>
      </c>
    </row>
    <row r="29" spans="1:14" x14ac:dyDescent="0.25">
      <c r="A29" s="5" t="s">
        <v>31</v>
      </c>
      <c r="B29" s="13">
        <v>45512</v>
      </c>
      <c r="C29" s="5" t="s">
        <v>54</v>
      </c>
      <c r="D29" s="5" t="s">
        <v>74</v>
      </c>
      <c r="E29" s="5">
        <v>1</v>
      </c>
      <c r="F29" s="5" t="str">
        <f>INDEX(Customers!$B$1:$B$21,MATCH(owner!C29,Customers!A5:A25,0))</f>
        <v>Robin Johnson</v>
      </c>
      <c r="G29" t="str">
        <f>INDEX(Customers!C$1:C$21, MATCH(C29, Customers!A$1:A$21, 0))</f>
        <v>ucunningham@webb.com</v>
      </c>
      <c r="H29" s="5" t="str">
        <f>INDEX(Customers!$G$1:$G$21, MATCH(C29,Customers!$A$1:$A$21,0))</f>
        <v>Montenegro</v>
      </c>
      <c r="I29" s="5" t="str">
        <f>INDEX(Products!B$2:B$41, MATCH(D29, Products!A$2:A$41, 0))</f>
        <v>Americano</v>
      </c>
      <c r="J29" s="11" t="str">
        <f>INDEX(Products!C$2:C$41, MATCH(D29, Products!A$2:A$41, 0))</f>
        <v>Dark</v>
      </c>
      <c r="K29" s="5" t="str">
        <f>INDEX(Products!D$2:D$41, MATCH(D29, Products!A$2:A$41, 0))</f>
        <v>Medium</v>
      </c>
      <c r="L29" s="5">
        <f>INDEX(Products!E$2:E$41, MATCH(D29, Products!A$2:A$41, 0))</f>
        <v>4.37</v>
      </c>
      <c r="M29" s="5">
        <f t="shared" si="0"/>
        <v>4.37</v>
      </c>
      <c r="N29" s="5" t="str">
        <f>INDEX(Customers!I$2:I$41, MATCH(C29, Customers!A$2:A$41, 0))</f>
        <v>No</v>
      </c>
    </row>
    <row r="30" spans="1:14" x14ac:dyDescent="0.25">
      <c r="A30" s="5" t="s">
        <v>32</v>
      </c>
      <c r="B30" s="13">
        <v>45534</v>
      </c>
      <c r="C30" s="5" t="s">
        <v>59</v>
      </c>
      <c r="D30" s="5" t="s">
        <v>74</v>
      </c>
      <c r="E30" s="5">
        <v>2</v>
      </c>
      <c r="F30" s="5" t="str">
        <f>INDEX(Customers!$B$1:$B$21,MATCH(owner!C30,Customers!A6:A26,0))</f>
        <v>Jessica Young</v>
      </c>
      <c r="G30" t="str">
        <f>INDEX(Customers!C$1:C$21, MATCH(C30, Customers!A$1:A$21, 0))</f>
        <v>clementscole@stewart.com</v>
      </c>
      <c r="H30" s="5" t="str">
        <f>INDEX(Customers!$G$1:$G$21, MATCH(C30,Customers!$A$1:$A$21,0))</f>
        <v>Congo</v>
      </c>
      <c r="I30" s="5" t="str">
        <f>INDEX(Products!B$2:B$41, MATCH(D30, Products!A$2:A$41, 0))</f>
        <v>Americano</v>
      </c>
      <c r="J30" s="11" t="str">
        <f>INDEX(Products!C$2:C$41, MATCH(D30, Products!A$2:A$41, 0))</f>
        <v>Dark</v>
      </c>
      <c r="K30" s="5" t="str">
        <f>INDEX(Products!D$2:D$41, MATCH(D30, Products!A$2:A$41, 0))</f>
        <v>Medium</v>
      </c>
      <c r="L30" s="5">
        <f>INDEX(Products!E$2:E$41, MATCH(D30, Products!A$2:A$41, 0))</f>
        <v>4.37</v>
      </c>
      <c r="M30" s="5">
        <f t="shared" si="0"/>
        <v>8.74</v>
      </c>
      <c r="N30" s="5" t="str">
        <f>INDEX(Customers!I$2:I$41, MATCH(C30, Customers!A$2:A$41, 0))</f>
        <v>No</v>
      </c>
    </row>
    <row r="31" spans="1:14" x14ac:dyDescent="0.25">
      <c r="A31" s="5" t="s">
        <v>33</v>
      </c>
      <c r="B31" s="13">
        <v>45663</v>
      </c>
      <c r="C31" s="5" t="s">
        <v>53</v>
      </c>
      <c r="D31" s="5" t="s">
        <v>67</v>
      </c>
      <c r="E31" s="5">
        <v>6</v>
      </c>
      <c r="F31" s="5" t="str">
        <f>INDEX(Customers!$B$1:$B$21,MATCH(owner!C31,Customers!A7:A27,0))</f>
        <v>Robin Johnson</v>
      </c>
      <c r="G31" t="str">
        <f>INDEX(Customers!C$1:C$21, MATCH(C31, Customers!A$1:A$21, 0))</f>
        <v>bakerjuan@hotmail.com</v>
      </c>
      <c r="H31" s="5" t="str">
        <f>INDEX(Customers!$G$1:$G$21, MATCH(C31,Customers!$A$1:$A$21,0))</f>
        <v>Moldova</v>
      </c>
      <c r="I31" s="5" t="str">
        <f>INDEX(Products!B$2:B$41, MATCH(D31, Products!A$2:A$41, 0))</f>
        <v>Mocha</v>
      </c>
      <c r="J31" s="11" t="str">
        <f>INDEX(Products!C$2:C$41, MATCH(D31, Products!A$2:A$41, 0))</f>
        <v>Medium</v>
      </c>
      <c r="K31" s="5" t="str">
        <f>INDEX(Products!D$2:D$41, MATCH(D31, Products!A$2:A$41, 0))</f>
        <v>Large</v>
      </c>
      <c r="L31" s="5">
        <f>INDEX(Products!E$2:E$41, MATCH(D31, Products!A$2:A$41, 0))</f>
        <v>4.74</v>
      </c>
      <c r="M31" s="5">
        <f t="shared" si="0"/>
        <v>28.44</v>
      </c>
      <c r="N31" s="5" t="str">
        <f>INDEX(Customers!I$2:I$41, MATCH(C31, Customers!A$2:A$41, 0))</f>
        <v>Yes</v>
      </c>
    </row>
    <row r="32" spans="1:14" x14ac:dyDescent="0.25">
      <c r="A32" s="5" t="s">
        <v>34</v>
      </c>
      <c r="B32" s="13">
        <v>45758</v>
      </c>
      <c r="C32" s="5" t="s">
        <v>54</v>
      </c>
      <c r="D32" s="5" t="s">
        <v>71</v>
      </c>
      <c r="E32" s="5">
        <v>8</v>
      </c>
      <c r="F32" s="5" t="str">
        <f>INDEX(Customers!$B$1:$B$21,MATCH(owner!C32,Customers!A8:A28,0))</f>
        <v>Dustin Levy</v>
      </c>
      <c r="G32" t="str">
        <f>INDEX(Customers!C$1:C$21, MATCH(C32, Customers!A$1:A$21, 0))</f>
        <v>ucunningham@webb.com</v>
      </c>
      <c r="H32" s="5" t="str">
        <f>INDEX(Customers!$G$1:$G$21, MATCH(C32,Customers!$A$1:$A$21,0))</f>
        <v>Montenegro</v>
      </c>
      <c r="I32" s="5" t="str">
        <f>INDEX(Products!B$2:B$41, MATCH(D32, Products!A$2:A$41, 0))</f>
        <v>Cappuccino</v>
      </c>
      <c r="J32" s="11" t="str">
        <f>INDEX(Products!C$2:C$41, MATCH(D32, Products!A$2:A$41, 0))</f>
        <v>Medium</v>
      </c>
      <c r="K32" s="5" t="str">
        <f>INDEX(Products!D$2:D$41, MATCH(D32, Products!A$2:A$41, 0))</f>
        <v>Medium</v>
      </c>
      <c r="L32" s="5">
        <f>INDEX(Products!E$2:E$41, MATCH(D32, Products!A$2:A$41, 0))</f>
        <v>4.42</v>
      </c>
      <c r="M32" s="5">
        <f t="shared" si="0"/>
        <v>35.36</v>
      </c>
      <c r="N32" s="5" t="str">
        <f>INDEX(Customers!I$2:I$41, MATCH(C32, Customers!A$2:A$41, 0))</f>
        <v>No</v>
      </c>
    </row>
    <row r="33" spans="1:14" x14ac:dyDescent="0.25">
      <c r="A33" s="5" t="s">
        <v>35</v>
      </c>
      <c r="B33" s="13">
        <v>45713</v>
      </c>
      <c r="C33" s="5" t="s">
        <v>57</v>
      </c>
      <c r="D33" s="5" t="s">
        <v>75</v>
      </c>
      <c r="E33" s="5">
        <v>9</v>
      </c>
      <c r="F33" s="5" t="str">
        <f>INDEX(Customers!$B$1:$B$21,MATCH(owner!C33,Customers!A9:A29,0))</f>
        <v>Joshua Oneal</v>
      </c>
      <c r="G33" t="str">
        <f>INDEX(Customers!C$1:C$21, MATCH(C33, Customers!A$1:A$21, 0))</f>
        <v>gregory16@murphy.com</v>
      </c>
      <c r="H33" s="5" t="str">
        <f>INDEX(Customers!$G$1:$G$21, MATCH(C33,Customers!$A$1:$A$21,0))</f>
        <v>Zambia</v>
      </c>
      <c r="I33" s="5" t="str">
        <f>INDEX(Products!B$2:B$41, MATCH(D33, Products!A$2:A$41, 0))</f>
        <v>Flat White</v>
      </c>
      <c r="J33" s="11" t="str">
        <f>INDEX(Products!C$2:C$41, MATCH(D33, Products!A$2:A$41, 0))</f>
        <v>Light</v>
      </c>
      <c r="K33" s="5" t="str">
        <f>INDEX(Products!D$2:D$41, MATCH(D33, Products!A$2:A$41, 0))</f>
        <v>Small</v>
      </c>
      <c r="L33" s="5">
        <f>INDEX(Products!E$2:E$41, MATCH(D33, Products!A$2:A$41, 0))</f>
        <v>3.24</v>
      </c>
      <c r="M33" s="5">
        <f t="shared" si="0"/>
        <v>29.160000000000004</v>
      </c>
      <c r="N33" s="5" t="str">
        <f>INDEX(Customers!I$2:I$41, MATCH(C33, Customers!A$2:A$41, 0))</f>
        <v>Yes</v>
      </c>
    </row>
    <row r="34" spans="1:14" x14ac:dyDescent="0.25">
      <c r="A34" s="5" t="s">
        <v>36</v>
      </c>
      <c r="B34" s="13">
        <v>45662</v>
      </c>
      <c r="C34" s="5" t="s">
        <v>47</v>
      </c>
      <c r="D34" s="5" t="s">
        <v>62</v>
      </c>
      <c r="E34" s="5">
        <v>3</v>
      </c>
      <c r="F34" s="5" t="str">
        <f>INDEX(Customers!$B$1:$B$21,MATCH(owner!C34,Customers!A10:A30,0))</f>
        <v>Ashley Guerrero</v>
      </c>
      <c r="G34" t="str">
        <f>INDEX(Customers!C$1:C$21, MATCH(C34, Customers!A$1:A$21, 0))</f>
        <v>jessica31@sanchez-young.com</v>
      </c>
      <c r="H34" s="5" t="str">
        <f>INDEX(Customers!$G$1:$G$21, MATCH(C34,Customers!$A$1:$A$21,0))</f>
        <v>Slovenia</v>
      </c>
      <c r="I34" s="5" t="str">
        <f>INDEX(Products!B$2:B$41, MATCH(D34, Products!A$2:A$41, 0))</f>
        <v>Mocha</v>
      </c>
      <c r="J34" s="11" t="str">
        <f>INDEX(Products!C$2:C$41, MATCH(D34, Products!A$2:A$41, 0))</f>
        <v>Light</v>
      </c>
      <c r="K34" s="5" t="str">
        <f>INDEX(Products!D$2:D$41, MATCH(D34, Products!A$2:A$41, 0))</f>
        <v>Large</v>
      </c>
      <c r="L34" s="5">
        <f>INDEX(Products!E$2:E$41, MATCH(D34, Products!A$2:A$41, 0))</f>
        <v>4.8</v>
      </c>
      <c r="M34" s="5">
        <f t="shared" si="0"/>
        <v>14.399999999999999</v>
      </c>
      <c r="N34" s="5" t="str">
        <f>INDEX(Customers!I$2:I$41, MATCH(C34, Customers!A$2:A$41, 0))</f>
        <v>No</v>
      </c>
    </row>
    <row r="35" spans="1:14" x14ac:dyDescent="0.25">
      <c r="A35" s="5" t="s">
        <v>37</v>
      </c>
      <c r="B35" s="13">
        <v>45778</v>
      </c>
      <c r="C35" s="5" t="s">
        <v>45</v>
      </c>
      <c r="D35" s="5" t="s">
        <v>73</v>
      </c>
      <c r="E35" s="5">
        <v>9</v>
      </c>
      <c r="F35" s="5" t="str">
        <f>INDEX(Customers!B$1:B$21, MATCH(C35, Customers!A$1:A$21, 0))</f>
        <v>Joshua Oneal</v>
      </c>
      <c r="G35" t="str">
        <f>INDEX(Customers!C$1:C$21, MATCH(C35, Customers!A$1:A$21, 0))</f>
        <v>hestercharles@jackson-hicks.com</v>
      </c>
      <c r="H35" s="5" t="str">
        <f>INDEX(Customers!$G$1:$G$21, MATCH(C35,Customers!$A$1:$A$21,0))</f>
        <v>Cook Islands</v>
      </c>
      <c r="I35" s="5" t="str">
        <f>INDEX(Products!B$2:B$41, MATCH(D35, Products!A$2:A$41, 0))</f>
        <v>Espresso</v>
      </c>
      <c r="J35" s="11" t="str">
        <f>INDEX(Products!C$2:C$41, MATCH(D35, Products!A$2:A$41, 0))</f>
        <v>Medium</v>
      </c>
      <c r="K35" s="5" t="str">
        <f>INDEX(Products!D$2:D$41, MATCH(D35, Products!A$2:A$41, 0))</f>
        <v>Medium</v>
      </c>
      <c r="L35" s="5">
        <f>INDEX(Products!E$2:E$41, MATCH(D35, Products!A$2:A$41, 0))</f>
        <v>4.33</v>
      </c>
      <c r="M35" s="5">
        <f t="shared" si="0"/>
        <v>38.97</v>
      </c>
      <c r="N35" s="5" t="str">
        <f>INDEX(Customers!I$2:I$41, MATCH(C35, Customers!A$2:A$41, 0))</f>
        <v>Yes</v>
      </c>
    </row>
    <row r="36" spans="1:14" x14ac:dyDescent="0.25">
      <c r="A36" s="5" t="s">
        <v>38</v>
      </c>
      <c r="B36" s="13">
        <v>45689</v>
      </c>
      <c r="C36" s="5" t="s">
        <v>56</v>
      </c>
      <c r="D36" s="5" t="s">
        <v>76</v>
      </c>
      <c r="E36" s="5">
        <v>7</v>
      </c>
      <c r="F36" s="5" t="str">
        <f>INDEX(Customers!B$1:B$21, MATCH(C36, Customers!A$1:A$21, 0))</f>
        <v>Jennifer Rodriguez</v>
      </c>
      <c r="G36" t="str">
        <f>INDEX(Customers!C$1:C$21, MATCH(C36, Customers!A$1:A$21, 0))</f>
        <v>tiffany38@hernandez-palmer.com</v>
      </c>
      <c r="H36" s="5" t="str">
        <f>INDEX(Customers!$G$1:$G$21, MATCH(C36,Customers!$A$1:$A$21,0))</f>
        <v>Uruguay</v>
      </c>
      <c r="I36" s="5" t="str">
        <f>INDEX(Products!B$2:B$41, MATCH(D36, Products!A$2:A$41, 0))</f>
        <v>Mocha</v>
      </c>
      <c r="J36" s="11" t="str">
        <f>INDEX(Products!C$2:C$41, MATCH(D36, Products!A$2:A$41, 0))</f>
        <v>Medium</v>
      </c>
      <c r="K36" s="5" t="str">
        <f>INDEX(Products!D$2:D$41, MATCH(D36, Products!A$2:A$41, 0))</f>
        <v>Large</v>
      </c>
      <c r="L36" s="5">
        <f>INDEX(Products!E$2:E$41, MATCH(D36, Products!A$2:A$41, 0))</f>
        <v>5.5</v>
      </c>
      <c r="M36" s="5">
        <f t="shared" si="0"/>
        <v>38.5</v>
      </c>
      <c r="N36" s="5" t="str">
        <f>INDEX(Customers!I$2:I$41, MATCH(C36, Customers!A$2:A$41, 0))</f>
        <v>No</v>
      </c>
    </row>
    <row r="37" spans="1:14" x14ac:dyDescent="0.25">
      <c r="A37" s="5" t="s">
        <v>39</v>
      </c>
      <c r="B37" s="13">
        <v>45728</v>
      </c>
      <c r="C37" s="5" t="s">
        <v>52</v>
      </c>
      <c r="D37" s="5" t="s">
        <v>66</v>
      </c>
      <c r="E37" s="5">
        <v>10</v>
      </c>
      <c r="F37" s="5" t="str">
        <f>INDEX(Customers!B$1:B$21, MATCH(C37, Customers!A$1:A$21, 0))</f>
        <v>Natalie Cox</v>
      </c>
      <c r="G37" t="str">
        <f>INDEX(Customers!C$1:C$21, MATCH(C37, Customers!A$1:A$21, 0))</f>
        <v>cervantesgabriela@morgan.net</v>
      </c>
      <c r="H37" s="5" t="str">
        <f>INDEX(Customers!$G$1:$G$21, MATCH(C37,Customers!$A$1:$A$21,0))</f>
        <v>Northern Mariana Islands</v>
      </c>
      <c r="I37" s="5" t="str">
        <f>INDEX(Products!B$2:B$41, MATCH(D37, Products!A$2:A$41, 0))</f>
        <v>Americano</v>
      </c>
      <c r="J37" s="11" t="str">
        <f>INDEX(Products!C$2:C$41, MATCH(D37, Products!A$2:A$41, 0))</f>
        <v>Medium</v>
      </c>
      <c r="K37" s="5" t="str">
        <f>INDEX(Products!D$2:D$41, MATCH(D37, Products!A$2:A$41, 0))</f>
        <v>Large</v>
      </c>
      <c r="L37" s="5">
        <f>INDEX(Products!E$2:E$41, MATCH(D37, Products!A$2:A$41, 0))</f>
        <v>4.82</v>
      </c>
      <c r="M37" s="5">
        <f t="shared" si="0"/>
        <v>48.2</v>
      </c>
      <c r="N37" s="5" t="str">
        <f>INDEX(Customers!I$2:I$41, MATCH(C37, Customers!A$2:A$41, 0))</f>
        <v>No</v>
      </c>
    </row>
    <row r="38" spans="1:14" x14ac:dyDescent="0.25">
      <c r="A38" s="5" t="s">
        <v>40</v>
      </c>
      <c r="B38" s="13">
        <v>45599</v>
      </c>
      <c r="C38" s="5" t="s">
        <v>54</v>
      </c>
      <c r="D38" s="5" t="s">
        <v>61</v>
      </c>
      <c r="E38" s="5">
        <v>9</v>
      </c>
      <c r="F38" s="5" t="str">
        <f>INDEX(Customers!B$1:B$21, MATCH(C38, Customers!A$1:A$21, 0))</f>
        <v>Timothy Anderson</v>
      </c>
      <c r="G38" t="str">
        <f>INDEX(Customers!C$1:C$21, MATCH(C38, Customers!A$1:A$21, 0))</f>
        <v>ucunningham@webb.com</v>
      </c>
      <c r="H38" s="5" t="str">
        <f>INDEX(Customers!$G$1:$G$21, MATCH(C38,Customers!$A$1:$A$21,0))</f>
        <v>Montenegro</v>
      </c>
      <c r="I38" s="5" t="str">
        <f>INDEX(Products!B$2:B$41, MATCH(D38, Products!A$2:A$41, 0))</f>
        <v>Latte</v>
      </c>
      <c r="J38" s="11" t="str">
        <f>INDEX(Products!C$2:C$41, MATCH(D38, Products!A$2:A$41, 0))</f>
        <v>Dark</v>
      </c>
      <c r="K38" s="5" t="str">
        <f>INDEX(Products!D$2:D$41, MATCH(D38, Products!A$2:A$41, 0))</f>
        <v>Large</v>
      </c>
      <c r="L38" s="5">
        <f>INDEX(Products!E$2:E$41, MATCH(D38, Products!A$2:A$41, 0))</f>
        <v>5</v>
      </c>
      <c r="M38" s="5">
        <f t="shared" si="0"/>
        <v>45</v>
      </c>
      <c r="N38" s="5" t="str">
        <f>INDEX(Customers!I$2:I$41, MATCH(C38, Customers!A$2:A$41, 0))</f>
        <v>No</v>
      </c>
    </row>
    <row r="39" spans="1:14" x14ac:dyDescent="0.25">
      <c r="A39" s="5" t="s">
        <v>41</v>
      </c>
      <c r="B39" s="13">
        <v>45727</v>
      </c>
      <c r="C39" s="5" t="s">
        <v>59</v>
      </c>
      <c r="D39" s="5" t="s">
        <v>76</v>
      </c>
      <c r="E39" s="5">
        <v>1</v>
      </c>
      <c r="F39" s="5" t="str">
        <f>INDEX(Customers!B$1:B$21, MATCH(C39, Customers!A$1:A$21, 0))</f>
        <v>Ashley Guerrero</v>
      </c>
      <c r="G39" t="str">
        <f>INDEX(Customers!C$1:C$21, MATCH(C39, Customers!A$1:A$21, 0))</f>
        <v>clementscole@stewart.com</v>
      </c>
      <c r="H39" s="5" t="str">
        <f>INDEX(Customers!$G$1:$G$21, MATCH(C39,Customers!$A$1:$A$21,0))</f>
        <v>Congo</v>
      </c>
      <c r="I39" s="5" t="str">
        <f>INDEX(Products!B$2:B$41, MATCH(D39, Products!A$2:A$41, 0))</f>
        <v>Mocha</v>
      </c>
      <c r="J39" s="11" t="str">
        <f>INDEX(Products!C$2:C$41, MATCH(D39, Products!A$2:A$41, 0))</f>
        <v>Medium</v>
      </c>
      <c r="K39" s="5" t="str">
        <f>INDEX(Products!D$2:D$41, MATCH(D39, Products!A$2:A$41, 0))</f>
        <v>Large</v>
      </c>
      <c r="L39" s="5">
        <f>INDEX(Products!E$2:E$41, MATCH(D39, Products!A$2:A$41, 0))</f>
        <v>5.5</v>
      </c>
      <c r="M39" s="5">
        <f t="shared" si="0"/>
        <v>5.5</v>
      </c>
      <c r="N39" s="5" t="str">
        <f>INDEX(Customers!I$2:I$41, MATCH(C39, Customers!A$2:A$41, 0))</f>
        <v>No</v>
      </c>
    </row>
    <row r="40" spans="1:14" x14ac:dyDescent="0.25">
      <c r="A40" s="5" t="s">
        <v>42</v>
      </c>
      <c r="B40" s="13">
        <v>45679</v>
      </c>
      <c r="C40" s="5" t="s">
        <v>59</v>
      </c>
      <c r="D40" s="5" t="s">
        <v>72</v>
      </c>
      <c r="E40" s="5">
        <v>7</v>
      </c>
      <c r="F40" s="5" t="str">
        <f>INDEX(Customers!B$1:B$21, MATCH(C40, Customers!A$1:A$21, 0))</f>
        <v>Ashley Guerrero</v>
      </c>
      <c r="G40" t="str">
        <f>INDEX(Customers!C$1:C$21, MATCH(C40, Customers!A$1:A$21, 0))</f>
        <v>clementscole@stewart.com</v>
      </c>
      <c r="H40" s="5" t="str">
        <f>INDEX(Customers!$G$1:$G$21, MATCH(C40,Customers!$A$1:$A$21,0))</f>
        <v>Congo</v>
      </c>
      <c r="I40" s="5" t="str">
        <f>INDEX(Products!B$2:B$41, MATCH(D40, Products!A$2:A$41, 0))</f>
        <v>Latte</v>
      </c>
      <c r="J40" s="11" t="str">
        <f>INDEX(Products!C$2:C$41, MATCH(D40, Products!A$2:A$41, 0))</f>
        <v>Light</v>
      </c>
      <c r="K40" s="5" t="str">
        <f>INDEX(Products!D$2:D$41, MATCH(D40, Products!A$2:A$41, 0))</f>
        <v>Small</v>
      </c>
      <c r="L40" s="5">
        <f>INDEX(Products!E$2:E$41, MATCH(D40, Products!A$2:A$41, 0))</f>
        <v>3.38</v>
      </c>
      <c r="M40" s="5">
        <f t="shared" si="0"/>
        <v>23.66</v>
      </c>
      <c r="N40" s="5" t="str">
        <f>INDEX(Customers!I$2:I$41, MATCH(C40, Customers!A$2:A$41, 0))</f>
        <v>No</v>
      </c>
    </row>
    <row r="41" spans="1:14" x14ac:dyDescent="0.25">
      <c r="A41" s="5" t="s">
        <v>43</v>
      </c>
      <c r="B41" s="13">
        <v>45464</v>
      </c>
      <c r="C41" s="5" t="s">
        <v>58</v>
      </c>
      <c r="D41" s="5" t="s">
        <v>77</v>
      </c>
      <c r="E41" s="5">
        <v>6</v>
      </c>
      <c r="F41" s="5" t="str">
        <f>INDEX(Customers!B$1:B$21, MATCH(C41, Customers!A$1:A$21, 0))</f>
        <v>Billy Chan</v>
      </c>
      <c r="G41" t="str">
        <f>INDEX(Customers!C$1:C$21, MATCH(C41, Customers!A$1:A$21, 0))</f>
        <v>jonathandavis@yahoo.com</v>
      </c>
      <c r="H41" s="5" t="str">
        <f>INDEX(Customers!$G$1:$G$21, MATCH(C41,Customers!$A$1:$A$21,0))</f>
        <v>Turks and Caicos Islands</v>
      </c>
      <c r="I41" s="5" t="str">
        <f>INDEX(Products!B$2:B$41, MATCH(D41, Products!A$2:A$41, 0))</f>
        <v>Flat White</v>
      </c>
      <c r="J41" s="11" t="str">
        <f>INDEX(Products!C$2:C$41, MATCH(D41, Products!A$2:A$41, 0))</f>
        <v>Medium</v>
      </c>
      <c r="K41" s="5" t="str">
        <f>INDEX(Products!D$2:D$41, MATCH(D41, Products!A$2:A$41, 0))</f>
        <v>Large</v>
      </c>
      <c r="L41" s="5">
        <f>INDEX(Products!E$2:E$41, MATCH(D41, Products!A$2:A$41, 0))</f>
        <v>4.7</v>
      </c>
      <c r="M41" s="5">
        <f t="shared" si="0"/>
        <v>28.200000000000003</v>
      </c>
      <c r="N41" s="5" t="str">
        <f>INDEX(Customers!I$2:I$41, MATCH(C41, Customers!A$2:A$41, 0))</f>
        <v>No</v>
      </c>
    </row>
    <row r="42" spans="1:14" x14ac:dyDescent="0.25">
      <c r="A42" s="5"/>
      <c r="B42" s="5"/>
      <c r="C42" s="5"/>
      <c r="D42" s="5"/>
      <c r="E42" s="5"/>
      <c r="F42" s="5"/>
      <c r="J42" s="10"/>
    </row>
    <row r="43" spans="1:14" x14ac:dyDescent="0.25">
      <c r="A43" s="5"/>
      <c r="B43" s="5"/>
      <c r="C43" s="5"/>
      <c r="D43" s="5"/>
      <c r="E43" s="5"/>
      <c r="F43" s="5"/>
    </row>
    <row r="44" spans="1:14" x14ac:dyDescent="0.25">
      <c r="A44" s="5"/>
      <c r="B44" s="5"/>
      <c r="C44" s="5"/>
      <c r="D44" s="5"/>
      <c r="E44" s="5"/>
      <c r="F44" s="5"/>
    </row>
    <row r="45" spans="1:14" x14ac:dyDescent="0.25">
      <c r="A45" s="5"/>
      <c r="B45" s="5"/>
      <c r="C45" s="5"/>
      <c r="D45" s="5"/>
      <c r="E45" s="5"/>
      <c r="F45" s="5"/>
    </row>
    <row r="46" spans="1:14" x14ac:dyDescent="0.25">
      <c r="A46" s="5"/>
      <c r="B46" s="5"/>
      <c r="C46" s="5"/>
      <c r="D46" s="5"/>
      <c r="E46" s="5"/>
      <c r="F46" s="5"/>
    </row>
    <row r="47" spans="1:14" x14ac:dyDescent="0.25">
      <c r="A47" s="5"/>
      <c r="B47" s="5"/>
      <c r="C47" s="5"/>
      <c r="D47" s="5"/>
      <c r="E47" s="5"/>
      <c r="F47" s="5"/>
    </row>
    <row r="48" spans="1:14" x14ac:dyDescent="0.25">
      <c r="A48" s="5"/>
      <c r="B48" s="5"/>
      <c r="C48" s="5"/>
      <c r="D48" s="5"/>
      <c r="E48" s="5"/>
      <c r="F48" s="5"/>
    </row>
    <row r="49" spans="1:6" x14ac:dyDescent="0.25">
      <c r="A49" s="5"/>
      <c r="B49" s="5"/>
      <c r="C49" s="5"/>
      <c r="D49" s="5"/>
      <c r="E49" s="5"/>
      <c r="F49" s="5"/>
    </row>
    <row r="50" spans="1:6" x14ac:dyDescent="0.25">
      <c r="A50" s="5"/>
      <c r="B50" s="5"/>
      <c r="C50" s="5"/>
      <c r="D50" s="5"/>
      <c r="E50" s="5"/>
      <c r="F50" s="5"/>
    </row>
    <row r="51" spans="1:6" x14ac:dyDescent="0.25">
      <c r="A51" s="5"/>
      <c r="B51" s="5"/>
      <c r="C51" s="5"/>
      <c r="D51" s="5"/>
      <c r="E51" s="5"/>
      <c r="F51" s="5"/>
    </row>
    <row r="52" spans="1:6" x14ac:dyDescent="0.25">
      <c r="A52" s="5"/>
      <c r="B52" s="5"/>
      <c r="C52" s="5"/>
      <c r="D52" s="5"/>
      <c r="E52" s="5"/>
      <c r="F52" s="5"/>
    </row>
    <row r="53" spans="1:6" x14ac:dyDescent="0.25">
      <c r="A53" s="5"/>
      <c r="B53" s="5"/>
      <c r="C53" s="5"/>
      <c r="D53" s="5"/>
      <c r="E53" s="5"/>
      <c r="F53" s="5"/>
    </row>
    <row r="54" spans="1:6" x14ac:dyDescent="0.25">
      <c r="A54" s="5"/>
      <c r="B54" s="5"/>
      <c r="C54" s="5"/>
      <c r="D54" s="5"/>
      <c r="E54" s="5"/>
      <c r="F54" s="5"/>
    </row>
    <row r="55" spans="1:6" x14ac:dyDescent="0.25">
      <c r="A55" s="5"/>
      <c r="B55" s="5"/>
      <c r="C55" s="5"/>
      <c r="D55" s="5"/>
      <c r="E55" s="5"/>
      <c r="F55" s="5"/>
    </row>
    <row r="56" spans="1:6" x14ac:dyDescent="0.25">
      <c r="A56" s="5"/>
      <c r="B56" s="5"/>
      <c r="C56" s="5"/>
      <c r="D56" s="5"/>
      <c r="E56" s="5"/>
      <c r="F56" s="5"/>
    </row>
    <row r="57" spans="1:6" x14ac:dyDescent="0.25">
      <c r="A57" s="4"/>
      <c r="B57" s="4"/>
      <c r="C57" s="4"/>
      <c r="D57" s="4"/>
      <c r="E57" s="4"/>
    </row>
    <row r="58" spans="1:6" x14ac:dyDescent="0.25">
      <c r="A58" s="4"/>
      <c r="B58" s="4"/>
      <c r="C58" s="4"/>
      <c r="D58" s="4"/>
      <c r="E58" s="4"/>
    </row>
    <row r="59" spans="1:6" x14ac:dyDescent="0.25">
      <c r="A59" s="4"/>
      <c r="B59" s="4"/>
      <c r="C59" s="4"/>
      <c r="D59" s="4"/>
      <c r="E59" s="4"/>
    </row>
    <row r="60" spans="1:6" x14ac:dyDescent="0.25">
      <c r="A60" s="4"/>
      <c r="B60" s="4"/>
      <c r="C60" s="4"/>
      <c r="D60" s="4"/>
      <c r="E60" s="4"/>
    </row>
    <row r="61" spans="1:6" x14ac:dyDescent="0.25">
      <c r="A61" s="4"/>
      <c r="B61" s="4"/>
      <c r="C61" s="4"/>
      <c r="D61" s="4"/>
      <c r="E61" s="4"/>
    </row>
    <row r="62" spans="1:6" x14ac:dyDescent="0.25">
      <c r="A62" s="4"/>
      <c r="B62" s="4"/>
      <c r="C62" s="4"/>
      <c r="D62" s="4"/>
      <c r="E62" s="4"/>
    </row>
    <row r="63" spans="1:6" x14ac:dyDescent="0.25">
      <c r="A63" s="4"/>
      <c r="B63" s="4"/>
      <c r="C63" s="4"/>
      <c r="D63" s="4"/>
      <c r="E63" s="4"/>
    </row>
    <row r="64" spans="1:6" x14ac:dyDescent="0.25">
      <c r="A64" s="4"/>
      <c r="B64" s="4"/>
      <c r="C64" s="4"/>
      <c r="D64" s="4"/>
      <c r="E64" s="4"/>
    </row>
    <row r="65" spans="1:5" x14ac:dyDescent="0.25">
      <c r="A65" s="4"/>
      <c r="B65" s="4"/>
      <c r="C65" s="4"/>
      <c r="D65" s="4"/>
      <c r="E65" s="4"/>
    </row>
    <row r="66" spans="1:5" x14ac:dyDescent="0.25">
      <c r="A66" s="4"/>
      <c r="B66" s="4"/>
      <c r="C66" s="4"/>
      <c r="D66" s="4"/>
      <c r="E66" s="4"/>
    </row>
    <row r="67" spans="1:5" x14ac:dyDescent="0.25">
      <c r="A67" s="4"/>
      <c r="B67" s="4"/>
      <c r="C67" s="4"/>
      <c r="D67" s="4"/>
      <c r="E67" s="4"/>
    </row>
    <row r="68" spans="1:5" x14ac:dyDescent="0.25">
      <c r="A68" s="4"/>
      <c r="B68" s="4"/>
      <c r="C68" s="4"/>
      <c r="D68" s="4"/>
      <c r="E68" s="4"/>
    </row>
    <row r="69" spans="1:5" x14ac:dyDescent="0.25">
      <c r="A69" s="4"/>
      <c r="B69" s="4"/>
      <c r="C69" s="4"/>
      <c r="D69" s="4"/>
      <c r="E69" s="4"/>
    </row>
    <row r="70" spans="1:5" x14ac:dyDescent="0.25">
      <c r="A70" s="4"/>
      <c r="B70" s="4"/>
      <c r="C70" s="4"/>
      <c r="D70" s="4"/>
      <c r="E70" s="4"/>
    </row>
    <row r="71" spans="1:5" x14ac:dyDescent="0.25">
      <c r="A71" s="4"/>
      <c r="B71" s="4"/>
      <c r="C71" s="4"/>
      <c r="D71" s="4"/>
      <c r="E71" s="4"/>
    </row>
    <row r="72" spans="1:5" x14ac:dyDescent="0.25">
      <c r="A72" s="4"/>
      <c r="B72" s="4"/>
      <c r="C72" s="4"/>
      <c r="D72" s="4"/>
      <c r="E72" s="4"/>
    </row>
    <row r="73" spans="1:5" x14ac:dyDescent="0.25">
      <c r="A73" s="4"/>
      <c r="B73" s="4"/>
      <c r="C73" s="4"/>
      <c r="D73" s="4"/>
      <c r="E73" s="4"/>
    </row>
    <row r="74" spans="1:5" x14ac:dyDescent="0.25">
      <c r="A74" s="4"/>
      <c r="B74" s="4"/>
      <c r="C74" s="4"/>
      <c r="D74" s="4"/>
      <c r="E74" s="4"/>
    </row>
    <row r="75" spans="1:5" x14ac:dyDescent="0.25">
      <c r="A75" s="4"/>
      <c r="B75" s="4"/>
      <c r="C75" s="4"/>
      <c r="D75" s="4"/>
      <c r="E75" s="4"/>
    </row>
    <row r="76" spans="1:5" x14ac:dyDescent="0.25">
      <c r="A76" s="4"/>
      <c r="B76" s="4"/>
      <c r="C76" s="4"/>
      <c r="D76" s="4"/>
      <c r="E76" s="4"/>
    </row>
    <row r="77" spans="1:5" x14ac:dyDescent="0.25">
      <c r="A77" s="4"/>
      <c r="B77" s="4"/>
      <c r="C77" s="4"/>
      <c r="D77" s="4"/>
      <c r="E77" s="4"/>
    </row>
    <row r="78" spans="1:5" x14ac:dyDescent="0.25">
      <c r="A78" s="4"/>
      <c r="B78" s="4"/>
      <c r="C78" s="4"/>
      <c r="D78" s="4"/>
      <c r="E78" s="4"/>
    </row>
    <row r="79" spans="1:5" x14ac:dyDescent="0.25">
      <c r="A79" s="4"/>
      <c r="B79" s="4"/>
      <c r="C79" s="4"/>
      <c r="D79" s="4"/>
      <c r="E79" s="4"/>
    </row>
    <row r="80" spans="1:5" x14ac:dyDescent="0.25">
      <c r="A80" s="4"/>
      <c r="B80" s="4"/>
      <c r="C80" s="4"/>
      <c r="D80" s="4"/>
      <c r="E80" s="4"/>
    </row>
    <row r="81" spans="1:5" x14ac:dyDescent="0.25">
      <c r="A81" s="4"/>
      <c r="B81" s="4"/>
      <c r="C81" s="4"/>
      <c r="D81" s="4"/>
      <c r="E81" s="4"/>
    </row>
    <row r="82" spans="1:5" x14ac:dyDescent="0.25">
      <c r="A82" s="4"/>
      <c r="B82" s="4"/>
      <c r="C82" s="4"/>
      <c r="D82" s="4"/>
      <c r="E82" s="4"/>
    </row>
    <row r="83" spans="1:5" x14ac:dyDescent="0.25">
      <c r="A83" s="4"/>
      <c r="B83" s="4"/>
      <c r="C83" s="4"/>
      <c r="D83" s="4"/>
      <c r="E83" s="4"/>
    </row>
    <row r="84" spans="1:5" x14ac:dyDescent="0.25">
      <c r="A84" s="4"/>
      <c r="B84" s="4"/>
      <c r="C84" s="4"/>
      <c r="D84" s="4"/>
      <c r="E84" s="4"/>
    </row>
    <row r="85" spans="1:5" x14ac:dyDescent="0.25">
      <c r="A85" s="4"/>
      <c r="B85" s="4"/>
      <c r="C85" s="4"/>
      <c r="D85" s="4"/>
      <c r="E85" s="4"/>
    </row>
    <row r="86" spans="1:5" x14ac:dyDescent="0.25">
      <c r="A86" s="4"/>
      <c r="B86" s="4"/>
      <c r="C86" s="4"/>
      <c r="D86" s="4"/>
      <c r="E86" s="4"/>
    </row>
    <row r="87" spans="1:5" x14ac:dyDescent="0.25">
      <c r="A87" s="4"/>
      <c r="B87" s="4"/>
      <c r="C87" s="4"/>
      <c r="D87" s="4"/>
      <c r="E87" s="4"/>
    </row>
    <row r="88" spans="1:5" x14ac:dyDescent="0.25">
      <c r="A88" s="4"/>
      <c r="B88" s="4"/>
      <c r="C88" s="4"/>
      <c r="D88" s="4"/>
      <c r="E88" s="4"/>
    </row>
    <row r="89" spans="1:5" x14ac:dyDescent="0.25">
      <c r="A89" s="4"/>
      <c r="B89" s="4"/>
      <c r="C89" s="4"/>
      <c r="D89" s="4"/>
      <c r="E89" s="4"/>
    </row>
    <row r="90" spans="1:5" x14ac:dyDescent="0.25">
      <c r="A90" s="4"/>
      <c r="B90" s="4"/>
      <c r="C90" s="4"/>
      <c r="D90" s="4"/>
      <c r="E90" s="4"/>
    </row>
    <row r="91" spans="1:5" x14ac:dyDescent="0.25">
      <c r="A91" s="4"/>
      <c r="B91" s="4"/>
      <c r="C91" s="4"/>
      <c r="D91" s="4"/>
      <c r="E91" s="4"/>
    </row>
    <row r="92" spans="1:5" x14ac:dyDescent="0.25">
      <c r="A92" s="4"/>
      <c r="B92" s="4"/>
      <c r="C92" s="4"/>
      <c r="D92" s="4"/>
      <c r="E92" s="4"/>
    </row>
    <row r="93" spans="1:5" x14ac:dyDescent="0.25">
      <c r="A93" s="4"/>
      <c r="B93" s="4"/>
      <c r="C93" s="4"/>
      <c r="D93" s="4"/>
      <c r="E93" s="4"/>
    </row>
    <row r="94" spans="1:5" x14ac:dyDescent="0.25">
      <c r="A94" s="4"/>
      <c r="B94" s="4"/>
      <c r="C94" s="4"/>
      <c r="D94" s="4"/>
      <c r="E94" s="4"/>
    </row>
    <row r="95" spans="1:5" x14ac:dyDescent="0.25">
      <c r="A95" s="4"/>
      <c r="B95" s="4"/>
      <c r="C95" s="4"/>
      <c r="D95" s="4"/>
      <c r="E95" s="4"/>
    </row>
    <row r="96" spans="1:5" x14ac:dyDescent="0.25">
      <c r="A96" s="4"/>
      <c r="B96" s="4"/>
      <c r="C96" s="4"/>
      <c r="D96" s="4"/>
      <c r="E96" s="4"/>
    </row>
    <row r="97" spans="1:5" x14ac:dyDescent="0.25">
      <c r="A97" s="4"/>
      <c r="B97" s="4"/>
      <c r="C97" s="4"/>
      <c r="D97" s="4"/>
      <c r="E97" s="4"/>
    </row>
    <row r="98" spans="1:5" x14ac:dyDescent="0.25">
      <c r="A98" s="4"/>
      <c r="B98" s="4"/>
      <c r="C98" s="4"/>
      <c r="D98" s="4"/>
      <c r="E98" s="4"/>
    </row>
    <row r="99" spans="1:5" x14ac:dyDescent="0.25">
      <c r="A99" s="4"/>
      <c r="B99" s="4"/>
      <c r="C99" s="4"/>
      <c r="D99" s="4"/>
      <c r="E99" s="4"/>
    </row>
    <row r="100" spans="1:5" x14ac:dyDescent="0.25">
      <c r="A100" s="4"/>
      <c r="B100" s="4"/>
      <c r="C100" s="4"/>
      <c r="D100" s="4"/>
      <c r="E100" s="4"/>
    </row>
    <row r="101" spans="1:5" x14ac:dyDescent="0.25">
      <c r="A101" s="4"/>
      <c r="B101" s="4"/>
      <c r="C101" s="4"/>
      <c r="D101" s="4"/>
      <c r="E101" s="4"/>
    </row>
    <row r="102" spans="1:5" x14ac:dyDescent="0.25">
      <c r="A102" s="4"/>
      <c r="B102" s="4"/>
      <c r="C102" s="4"/>
      <c r="D102" s="4"/>
      <c r="E102" s="4"/>
    </row>
    <row r="103" spans="1:5" x14ac:dyDescent="0.25">
      <c r="A103" s="4"/>
      <c r="B103" s="4"/>
      <c r="C103" s="4"/>
      <c r="D103" s="4"/>
      <c r="E103" s="4"/>
    </row>
    <row r="104" spans="1:5" x14ac:dyDescent="0.25">
      <c r="A104" s="4"/>
      <c r="B104" s="4"/>
      <c r="C104" s="4"/>
      <c r="D104" s="4"/>
      <c r="E104" s="4"/>
    </row>
    <row r="105" spans="1:5" x14ac:dyDescent="0.25">
      <c r="A105" s="4"/>
      <c r="B105" s="4"/>
      <c r="C105" s="4"/>
      <c r="D105" s="4"/>
      <c r="E105" s="4"/>
    </row>
    <row r="106" spans="1:5" x14ac:dyDescent="0.25">
      <c r="A106" s="4"/>
      <c r="B106" s="4"/>
      <c r="C106" s="4"/>
      <c r="D106" s="4"/>
      <c r="E106" s="4"/>
    </row>
    <row r="107" spans="1:5" x14ac:dyDescent="0.25">
      <c r="A107" s="4"/>
      <c r="B107" s="4"/>
      <c r="C107" s="4"/>
      <c r="D107" s="4"/>
      <c r="E107" s="4"/>
    </row>
    <row r="108" spans="1:5" x14ac:dyDescent="0.25">
      <c r="A108" s="4"/>
      <c r="B108" s="4"/>
      <c r="C108" s="4"/>
      <c r="D108" s="4"/>
      <c r="E108" s="4"/>
    </row>
    <row r="109" spans="1:5" x14ac:dyDescent="0.25">
      <c r="A109" s="4"/>
      <c r="B109" s="4"/>
      <c r="C109" s="4"/>
      <c r="D109" s="4"/>
      <c r="E109" s="4"/>
    </row>
    <row r="110" spans="1:5" x14ac:dyDescent="0.25">
      <c r="A110" s="4"/>
      <c r="B110" s="4"/>
      <c r="C110" s="4"/>
      <c r="D110" s="4"/>
      <c r="E110" s="4"/>
    </row>
    <row r="111" spans="1:5" x14ac:dyDescent="0.25">
      <c r="A111" s="4"/>
      <c r="B111" s="4"/>
      <c r="C111" s="4"/>
      <c r="D111" s="4"/>
      <c r="E111" s="4"/>
    </row>
    <row r="112" spans="1:5" x14ac:dyDescent="0.25">
      <c r="A112" s="4"/>
      <c r="B112" s="4"/>
      <c r="C112" s="4"/>
      <c r="D112" s="4"/>
      <c r="E112" s="4"/>
    </row>
  </sheetData>
  <pageMargins left="0.7" right="0.7" top="0.75" bottom="0.75" header="0.3" footer="0.3"/>
  <pageSetup orientation="portrait"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1"/>
  <sheetViews>
    <sheetView zoomScale="168" workbookViewId="0">
      <selection activeCell="J8" sqref="J8"/>
    </sheetView>
  </sheetViews>
  <sheetFormatPr defaultRowHeight="15" x14ac:dyDescent="0.25"/>
  <cols>
    <col min="5" max="5" width="10.28515625" customWidth="1"/>
    <col min="6" max="6" width="12.85546875" customWidth="1"/>
  </cols>
  <sheetData>
    <row r="1" spans="1:7" x14ac:dyDescent="0.25">
      <c r="A1" s="1" t="s">
        <v>2</v>
      </c>
      <c r="B1" s="1" t="s">
        <v>232</v>
      </c>
      <c r="C1" s="1" t="s">
        <v>233</v>
      </c>
      <c r="D1" s="1" t="s">
        <v>234</v>
      </c>
      <c r="E1" s="1" t="s">
        <v>235</v>
      </c>
      <c r="F1" s="1" t="s">
        <v>236</v>
      </c>
      <c r="G1" s="1" t="s">
        <v>237</v>
      </c>
    </row>
    <row r="2" spans="1:7" x14ac:dyDescent="0.25">
      <c r="A2" t="s">
        <v>75</v>
      </c>
      <c r="B2" t="s">
        <v>238</v>
      </c>
      <c r="C2" t="s">
        <v>239</v>
      </c>
      <c r="D2" t="s">
        <v>240</v>
      </c>
      <c r="E2">
        <v>3.24</v>
      </c>
      <c r="F2">
        <v>3.02</v>
      </c>
      <c r="G2">
        <v>1.1299999999999999</v>
      </c>
    </row>
    <row r="3" spans="1:7" x14ac:dyDescent="0.25">
      <c r="A3" t="s">
        <v>62</v>
      </c>
      <c r="B3" t="s">
        <v>241</v>
      </c>
      <c r="C3" t="s">
        <v>239</v>
      </c>
      <c r="D3" t="s">
        <v>242</v>
      </c>
      <c r="E3">
        <v>4.8</v>
      </c>
      <c r="F3">
        <v>5.04</v>
      </c>
      <c r="G3">
        <v>0.98</v>
      </c>
    </row>
    <row r="4" spans="1:7" x14ac:dyDescent="0.25">
      <c r="A4" t="s">
        <v>61</v>
      </c>
      <c r="B4" t="s">
        <v>243</v>
      </c>
      <c r="C4" t="s">
        <v>244</v>
      </c>
      <c r="D4" t="s">
        <v>242</v>
      </c>
      <c r="E4">
        <v>5</v>
      </c>
      <c r="F4">
        <v>4.92</v>
      </c>
      <c r="G4">
        <v>1.87</v>
      </c>
    </row>
    <row r="5" spans="1:7" x14ac:dyDescent="0.25">
      <c r="A5" t="s">
        <v>60</v>
      </c>
      <c r="B5" t="s">
        <v>243</v>
      </c>
      <c r="C5" t="s">
        <v>244</v>
      </c>
      <c r="D5" t="s">
        <v>245</v>
      </c>
      <c r="E5">
        <v>3.74</v>
      </c>
      <c r="F5">
        <v>3.74</v>
      </c>
      <c r="G5">
        <v>0.82</v>
      </c>
    </row>
    <row r="6" spans="1:7" x14ac:dyDescent="0.25">
      <c r="A6" t="s">
        <v>73</v>
      </c>
      <c r="B6" t="s">
        <v>246</v>
      </c>
      <c r="C6" t="s">
        <v>245</v>
      </c>
      <c r="D6" t="s">
        <v>245</v>
      </c>
      <c r="E6">
        <v>4.33</v>
      </c>
      <c r="F6">
        <v>4.59</v>
      </c>
      <c r="G6">
        <v>1.71</v>
      </c>
    </row>
    <row r="7" spans="1:7" x14ac:dyDescent="0.25">
      <c r="A7" t="s">
        <v>69</v>
      </c>
      <c r="B7" t="s">
        <v>247</v>
      </c>
      <c r="C7" t="s">
        <v>239</v>
      </c>
      <c r="D7" t="s">
        <v>242</v>
      </c>
      <c r="E7">
        <v>5.4</v>
      </c>
      <c r="F7">
        <v>5.44</v>
      </c>
      <c r="G7">
        <v>1.29</v>
      </c>
    </row>
    <row r="8" spans="1:7" x14ac:dyDescent="0.25">
      <c r="A8" t="s">
        <v>65</v>
      </c>
      <c r="B8" t="s">
        <v>246</v>
      </c>
      <c r="C8" t="s">
        <v>239</v>
      </c>
      <c r="D8" t="s">
        <v>242</v>
      </c>
      <c r="E8">
        <v>4.67</v>
      </c>
      <c r="F8">
        <v>4.53</v>
      </c>
      <c r="G8">
        <v>1.03</v>
      </c>
    </row>
    <row r="9" spans="1:7" x14ac:dyDescent="0.25">
      <c r="A9" t="s">
        <v>248</v>
      </c>
      <c r="B9" t="s">
        <v>249</v>
      </c>
      <c r="C9" t="s">
        <v>245</v>
      </c>
      <c r="D9" t="s">
        <v>242</v>
      </c>
      <c r="E9">
        <v>4.92</v>
      </c>
      <c r="F9">
        <v>5.42</v>
      </c>
      <c r="G9">
        <v>1.67</v>
      </c>
    </row>
    <row r="10" spans="1:7" x14ac:dyDescent="0.25">
      <c r="A10" t="s">
        <v>64</v>
      </c>
      <c r="B10" t="s">
        <v>238</v>
      </c>
      <c r="C10" t="s">
        <v>244</v>
      </c>
      <c r="D10" t="s">
        <v>240</v>
      </c>
      <c r="E10">
        <v>3.11</v>
      </c>
      <c r="F10">
        <v>2.95</v>
      </c>
      <c r="G10">
        <v>0.86</v>
      </c>
    </row>
    <row r="11" spans="1:7" x14ac:dyDescent="0.25">
      <c r="A11" t="s">
        <v>68</v>
      </c>
      <c r="B11" t="s">
        <v>238</v>
      </c>
      <c r="C11" t="s">
        <v>244</v>
      </c>
      <c r="D11" t="s">
        <v>242</v>
      </c>
      <c r="E11">
        <v>5.29</v>
      </c>
      <c r="F11">
        <v>4.8499999999999996</v>
      </c>
      <c r="G11">
        <v>1.93</v>
      </c>
    </row>
    <row r="12" spans="1:7" x14ac:dyDescent="0.25">
      <c r="A12" t="s">
        <v>71</v>
      </c>
      <c r="B12" t="s">
        <v>249</v>
      </c>
      <c r="C12" t="s">
        <v>245</v>
      </c>
      <c r="D12" t="s">
        <v>245</v>
      </c>
      <c r="E12">
        <v>4.42</v>
      </c>
      <c r="F12">
        <v>4.93</v>
      </c>
      <c r="G12">
        <v>1.07</v>
      </c>
    </row>
    <row r="13" spans="1:7" x14ac:dyDescent="0.25">
      <c r="A13" t="s">
        <v>66</v>
      </c>
      <c r="B13" t="s">
        <v>247</v>
      </c>
      <c r="C13" t="s">
        <v>245</v>
      </c>
      <c r="D13" t="s">
        <v>242</v>
      </c>
      <c r="E13">
        <v>4.82</v>
      </c>
      <c r="F13">
        <v>5.15</v>
      </c>
      <c r="G13">
        <v>1.22</v>
      </c>
    </row>
    <row r="14" spans="1:7" x14ac:dyDescent="0.25">
      <c r="A14" t="s">
        <v>76</v>
      </c>
      <c r="B14" t="s">
        <v>241</v>
      </c>
      <c r="C14" t="s">
        <v>245</v>
      </c>
      <c r="D14" t="s">
        <v>242</v>
      </c>
      <c r="E14">
        <v>5.5</v>
      </c>
      <c r="F14">
        <v>5.79</v>
      </c>
      <c r="G14">
        <v>1.2</v>
      </c>
    </row>
    <row r="15" spans="1:7" x14ac:dyDescent="0.25">
      <c r="A15" t="s">
        <v>63</v>
      </c>
      <c r="B15" t="s">
        <v>246</v>
      </c>
      <c r="C15" t="s">
        <v>239</v>
      </c>
      <c r="D15" t="s">
        <v>240</v>
      </c>
      <c r="E15">
        <v>3.13</v>
      </c>
      <c r="F15">
        <v>2.87</v>
      </c>
      <c r="G15">
        <v>0.86</v>
      </c>
    </row>
    <row r="16" spans="1:7" x14ac:dyDescent="0.25">
      <c r="A16" t="s">
        <v>74</v>
      </c>
      <c r="B16" t="s">
        <v>247</v>
      </c>
      <c r="C16" t="s">
        <v>244</v>
      </c>
      <c r="D16" t="s">
        <v>245</v>
      </c>
      <c r="E16">
        <v>4.37</v>
      </c>
      <c r="F16">
        <v>4.88</v>
      </c>
      <c r="G16">
        <v>1.47</v>
      </c>
    </row>
    <row r="17" spans="1:7" x14ac:dyDescent="0.25">
      <c r="A17" t="s">
        <v>67</v>
      </c>
      <c r="B17" t="s">
        <v>241</v>
      </c>
      <c r="C17" t="s">
        <v>245</v>
      </c>
      <c r="D17" t="s">
        <v>242</v>
      </c>
      <c r="E17">
        <v>4.74</v>
      </c>
      <c r="F17">
        <v>4.2699999999999996</v>
      </c>
      <c r="G17">
        <v>1.63</v>
      </c>
    </row>
    <row r="18" spans="1:7" x14ac:dyDescent="0.25">
      <c r="A18" t="s">
        <v>77</v>
      </c>
      <c r="B18" t="s">
        <v>238</v>
      </c>
      <c r="C18" t="s">
        <v>245</v>
      </c>
      <c r="D18" t="s">
        <v>242</v>
      </c>
      <c r="E18">
        <v>4.7</v>
      </c>
      <c r="F18">
        <v>5.1100000000000003</v>
      </c>
      <c r="G18">
        <v>1.73</v>
      </c>
    </row>
    <row r="19" spans="1:7" x14ac:dyDescent="0.25">
      <c r="A19" t="s">
        <v>70</v>
      </c>
      <c r="B19" t="s">
        <v>241</v>
      </c>
      <c r="C19" t="s">
        <v>244</v>
      </c>
      <c r="D19" t="s">
        <v>240</v>
      </c>
      <c r="E19">
        <v>2.65</v>
      </c>
      <c r="F19">
        <v>3.01</v>
      </c>
      <c r="G19">
        <v>0.81</v>
      </c>
    </row>
    <row r="20" spans="1:7" x14ac:dyDescent="0.25">
      <c r="A20" t="s">
        <v>250</v>
      </c>
      <c r="B20" t="s">
        <v>246</v>
      </c>
      <c r="C20" t="s">
        <v>244</v>
      </c>
      <c r="D20" t="s">
        <v>245</v>
      </c>
      <c r="E20">
        <v>3.7</v>
      </c>
      <c r="F20">
        <v>4.42</v>
      </c>
      <c r="G20">
        <v>1.34</v>
      </c>
    </row>
    <row r="21" spans="1:7" x14ac:dyDescent="0.25">
      <c r="A21" t="s">
        <v>72</v>
      </c>
      <c r="B21" t="s">
        <v>243</v>
      </c>
      <c r="C21" t="s">
        <v>239</v>
      </c>
      <c r="D21" t="s">
        <v>240</v>
      </c>
      <c r="E21">
        <v>3.38</v>
      </c>
      <c r="F21">
        <v>3.53</v>
      </c>
      <c r="G21">
        <v>0.72</v>
      </c>
    </row>
    <row r="22" spans="1:7" x14ac:dyDescent="0.25">
      <c r="A22" t="s">
        <v>251</v>
      </c>
      <c r="B22" t="s">
        <v>241</v>
      </c>
      <c r="C22" t="s">
        <v>239</v>
      </c>
      <c r="D22" t="s">
        <v>240</v>
      </c>
      <c r="E22">
        <v>3.16</v>
      </c>
      <c r="F22">
        <v>3.34</v>
      </c>
      <c r="G22">
        <v>1.02</v>
      </c>
    </row>
    <row r="23" spans="1:7" x14ac:dyDescent="0.25">
      <c r="A23" t="s">
        <v>252</v>
      </c>
      <c r="B23" t="s">
        <v>243</v>
      </c>
      <c r="C23" t="s">
        <v>244</v>
      </c>
      <c r="D23" t="s">
        <v>242</v>
      </c>
      <c r="E23">
        <v>4.96</v>
      </c>
      <c r="F23">
        <v>5.46</v>
      </c>
      <c r="G23">
        <v>1.36</v>
      </c>
    </row>
    <row r="24" spans="1:7" x14ac:dyDescent="0.25">
      <c r="A24" t="s">
        <v>253</v>
      </c>
      <c r="B24" t="s">
        <v>241</v>
      </c>
      <c r="C24" t="s">
        <v>245</v>
      </c>
      <c r="D24" t="s">
        <v>240</v>
      </c>
      <c r="E24">
        <v>2.75</v>
      </c>
      <c r="F24">
        <v>2.93</v>
      </c>
      <c r="G24">
        <v>0.87</v>
      </c>
    </row>
    <row r="25" spans="1:7" x14ac:dyDescent="0.25">
      <c r="A25" t="s">
        <v>254</v>
      </c>
      <c r="B25" t="s">
        <v>246</v>
      </c>
      <c r="C25" t="s">
        <v>239</v>
      </c>
      <c r="D25" t="s">
        <v>242</v>
      </c>
      <c r="E25">
        <v>5.41</v>
      </c>
      <c r="F25">
        <v>6.27</v>
      </c>
      <c r="G25">
        <v>1.1599999999999999</v>
      </c>
    </row>
    <row r="26" spans="1:7" x14ac:dyDescent="0.25">
      <c r="A26" t="s">
        <v>255</v>
      </c>
      <c r="B26" t="s">
        <v>243</v>
      </c>
      <c r="C26" t="s">
        <v>245</v>
      </c>
      <c r="D26" t="s">
        <v>242</v>
      </c>
      <c r="E26">
        <v>5.25</v>
      </c>
      <c r="F26">
        <v>6.12</v>
      </c>
      <c r="G26">
        <v>1.66</v>
      </c>
    </row>
    <row r="27" spans="1:7" x14ac:dyDescent="0.25">
      <c r="A27" t="s">
        <v>256</v>
      </c>
      <c r="B27" t="s">
        <v>243</v>
      </c>
      <c r="C27" t="s">
        <v>245</v>
      </c>
      <c r="D27" t="s">
        <v>245</v>
      </c>
      <c r="E27">
        <v>3.69</v>
      </c>
      <c r="F27">
        <v>3.79</v>
      </c>
      <c r="G27">
        <v>1.08</v>
      </c>
    </row>
    <row r="28" spans="1:7" x14ac:dyDescent="0.25">
      <c r="A28" t="s">
        <v>257</v>
      </c>
      <c r="B28" t="s">
        <v>238</v>
      </c>
      <c r="C28" t="s">
        <v>239</v>
      </c>
      <c r="D28" t="s">
        <v>242</v>
      </c>
      <c r="E28">
        <v>4.6500000000000004</v>
      </c>
      <c r="F28">
        <v>5.21</v>
      </c>
      <c r="G28">
        <v>1.68</v>
      </c>
    </row>
    <row r="29" spans="1:7" x14ac:dyDescent="0.25">
      <c r="A29" t="s">
        <v>258</v>
      </c>
      <c r="B29" t="s">
        <v>246</v>
      </c>
      <c r="C29" t="s">
        <v>239</v>
      </c>
      <c r="D29" t="s">
        <v>240</v>
      </c>
      <c r="E29">
        <v>2.69</v>
      </c>
      <c r="F29">
        <v>2.65</v>
      </c>
      <c r="G29">
        <v>0.67</v>
      </c>
    </row>
    <row r="30" spans="1:7" x14ac:dyDescent="0.25">
      <c r="A30" t="s">
        <v>259</v>
      </c>
      <c r="B30" t="s">
        <v>246</v>
      </c>
      <c r="C30" t="s">
        <v>245</v>
      </c>
      <c r="D30" t="s">
        <v>242</v>
      </c>
      <c r="E30">
        <v>5.09</v>
      </c>
      <c r="F30">
        <v>4.5999999999999996</v>
      </c>
      <c r="G30">
        <v>1.1100000000000001</v>
      </c>
    </row>
    <row r="31" spans="1:7" x14ac:dyDescent="0.25">
      <c r="A31" t="s">
        <v>260</v>
      </c>
      <c r="B31" t="s">
        <v>243</v>
      </c>
      <c r="C31" t="s">
        <v>239</v>
      </c>
      <c r="D31" t="s">
        <v>245</v>
      </c>
      <c r="E31">
        <v>3.79</v>
      </c>
      <c r="F31">
        <v>3.48</v>
      </c>
      <c r="G31">
        <v>1.05</v>
      </c>
    </row>
    <row r="32" spans="1:7" x14ac:dyDescent="0.25">
      <c r="A32" t="s">
        <v>261</v>
      </c>
      <c r="B32" t="s">
        <v>247</v>
      </c>
      <c r="C32" t="s">
        <v>245</v>
      </c>
      <c r="D32" t="s">
        <v>245</v>
      </c>
      <c r="E32">
        <v>4.2300000000000004</v>
      </c>
      <c r="F32">
        <v>4.8</v>
      </c>
      <c r="G32">
        <v>1.4</v>
      </c>
    </row>
    <row r="33" spans="1:7" x14ac:dyDescent="0.25">
      <c r="A33" t="s">
        <v>262</v>
      </c>
      <c r="B33" t="s">
        <v>247</v>
      </c>
      <c r="C33" t="s">
        <v>239</v>
      </c>
      <c r="D33" t="s">
        <v>240</v>
      </c>
      <c r="E33">
        <v>2.8</v>
      </c>
      <c r="F33">
        <v>2.97</v>
      </c>
      <c r="G33">
        <v>0.98</v>
      </c>
    </row>
    <row r="34" spans="1:7" x14ac:dyDescent="0.25">
      <c r="A34" t="s">
        <v>263</v>
      </c>
      <c r="B34" t="s">
        <v>246</v>
      </c>
      <c r="C34" t="s">
        <v>239</v>
      </c>
      <c r="D34" t="s">
        <v>242</v>
      </c>
      <c r="E34">
        <v>5.08</v>
      </c>
      <c r="F34">
        <v>4.66</v>
      </c>
      <c r="G34">
        <v>1.53</v>
      </c>
    </row>
    <row r="35" spans="1:7" x14ac:dyDescent="0.25">
      <c r="A35" t="s">
        <v>264</v>
      </c>
      <c r="B35" t="s">
        <v>243</v>
      </c>
      <c r="C35" t="s">
        <v>239</v>
      </c>
      <c r="D35" t="s">
        <v>242</v>
      </c>
      <c r="E35">
        <v>4.96</v>
      </c>
      <c r="F35">
        <v>5.87</v>
      </c>
      <c r="G35">
        <v>1.56</v>
      </c>
    </row>
    <row r="36" spans="1:7" x14ac:dyDescent="0.25">
      <c r="A36" t="s">
        <v>265</v>
      </c>
      <c r="B36" t="s">
        <v>241</v>
      </c>
      <c r="C36" t="s">
        <v>244</v>
      </c>
      <c r="D36" t="s">
        <v>240</v>
      </c>
      <c r="E36">
        <v>3.12</v>
      </c>
      <c r="F36">
        <v>3.3</v>
      </c>
      <c r="G36">
        <v>1.21</v>
      </c>
    </row>
    <row r="37" spans="1:7" x14ac:dyDescent="0.25">
      <c r="A37" t="s">
        <v>266</v>
      </c>
      <c r="B37" t="s">
        <v>243</v>
      </c>
      <c r="C37" t="s">
        <v>244</v>
      </c>
      <c r="D37" t="s">
        <v>242</v>
      </c>
      <c r="E37">
        <v>4.72</v>
      </c>
      <c r="F37">
        <v>5.16</v>
      </c>
      <c r="G37">
        <v>1.37</v>
      </c>
    </row>
    <row r="38" spans="1:7" x14ac:dyDescent="0.25">
      <c r="A38" t="s">
        <v>267</v>
      </c>
      <c r="B38" t="s">
        <v>246</v>
      </c>
      <c r="C38" t="s">
        <v>239</v>
      </c>
      <c r="D38" t="s">
        <v>245</v>
      </c>
      <c r="E38">
        <v>4.1100000000000003</v>
      </c>
      <c r="F38">
        <v>4.3600000000000003</v>
      </c>
      <c r="G38">
        <v>1.24</v>
      </c>
    </row>
    <row r="39" spans="1:7" x14ac:dyDescent="0.25">
      <c r="A39" t="s">
        <v>268</v>
      </c>
      <c r="B39" t="s">
        <v>243</v>
      </c>
      <c r="C39" t="s">
        <v>245</v>
      </c>
      <c r="D39" t="s">
        <v>240</v>
      </c>
      <c r="E39">
        <v>3.38</v>
      </c>
      <c r="F39">
        <v>3.89</v>
      </c>
      <c r="G39">
        <v>1.1499999999999999</v>
      </c>
    </row>
    <row r="40" spans="1:7" x14ac:dyDescent="0.25">
      <c r="A40" t="s">
        <v>269</v>
      </c>
      <c r="B40" t="s">
        <v>241</v>
      </c>
      <c r="C40" t="s">
        <v>244</v>
      </c>
      <c r="D40" t="s">
        <v>242</v>
      </c>
      <c r="E40">
        <v>4.87</v>
      </c>
      <c r="F40">
        <v>5.35</v>
      </c>
      <c r="G40">
        <v>1.89</v>
      </c>
    </row>
    <row r="41" spans="1:7" x14ac:dyDescent="0.25">
      <c r="A41" t="s">
        <v>270</v>
      </c>
      <c r="B41" t="s">
        <v>243</v>
      </c>
      <c r="C41" t="s">
        <v>245</v>
      </c>
      <c r="D41" t="s">
        <v>240</v>
      </c>
      <c r="E41">
        <v>3.39</v>
      </c>
      <c r="F41">
        <v>3.34</v>
      </c>
      <c r="G41">
        <v>0.82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Customers</vt:lpstr>
      <vt:lpstr>Sheet2</vt:lpstr>
      <vt:lpstr>Sheet4</vt:lpstr>
      <vt:lpstr>Sheet3</vt:lpstr>
      <vt:lpstr>Sheet5</vt:lpstr>
      <vt:lpstr>Sheet1</vt:lpstr>
      <vt:lpstr>owner</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cp:lastPrinted>2025-06-30T12:21:55Z</cp:lastPrinted>
  <dcterms:created xsi:type="dcterms:W3CDTF">2025-05-11T11:12:12Z</dcterms:created>
  <dcterms:modified xsi:type="dcterms:W3CDTF">2025-07-01T07:15:36Z</dcterms:modified>
</cp:coreProperties>
</file>